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fdae5e8c0883409/Documents/GitHub/budget/"/>
    </mc:Choice>
  </mc:AlternateContent>
  <xr:revisionPtr revIDLastSave="8" documentId="8_{0891F437-F297-4DF1-A7B1-C53A9B1BB699}" xr6:coauthVersionLast="47" xr6:coauthVersionMax="47" xr10:uidLastSave="{C47DFA1C-952C-4337-BCDA-CA829CAB3D1D}"/>
  <bookViews>
    <workbookView xWindow="-108" yWindow="-108" windowWidth="23256" windowHeight="12456" tabRatio="500" xr2:uid="{00000000-000D-0000-FFFF-FFFF00000000}"/>
  </bookViews>
  <sheets>
    <sheet name="Budget 2025" sheetId="1" r:id="rId1"/>
  </sheets>
  <definedNames>
    <definedName name="_xlnm.Print_Titles" localSheetId="0">'Budget 2025'!$A:$A,'Budget 2025'!$1:$1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1" i="1" l="1"/>
  <c r="AR21" i="1"/>
  <c r="P21" i="1"/>
  <c r="AD21" i="1" s="1"/>
  <c r="C21" i="1"/>
  <c r="AS21" i="1" s="1"/>
  <c r="BE13" i="1"/>
  <c r="BE12" i="1"/>
  <c r="AQ13" i="1"/>
  <c r="AQ12" i="1"/>
  <c r="AC13" i="1"/>
  <c r="AC12" i="1"/>
  <c r="E29" i="1"/>
  <c r="D21" i="1"/>
  <c r="E21" i="1" s="1"/>
  <c r="F21" i="1" s="1"/>
  <c r="G21" i="1" s="1"/>
  <c r="H21" i="1" s="1"/>
  <c r="I21" i="1" s="1"/>
  <c r="J21" i="1" s="1"/>
  <c r="K21" i="1" s="1"/>
  <c r="L21" i="1" s="1"/>
  <c r="M21" i="1" s="1"/>
  <c r="N21" i="1" s="1"/>
  <c r="AB21" i="1" s="1"/>
  <c r="AP21" i="1" s="1"/>
  <c r="AX17" i="1"/>
  <c r="F29" i="1"/>
  <c r="AY17" i="1"/>
  <c r="BE4" i="1"/>
  <c r="BD17" i="1"/>
  <c r="BC17" i="1"/>
  <c r="BB17" i="1"/>
  <c r="BA17" i="1"/>
  <c r="AZ17" i="1"/>
  <c r="AW17" i="1"/>
  <c r="AV17" i="1"/>
  <c r="AU17" i="1"/>
  <c r="AT17" i="1"/>
  <c r="AS17" i="1"/>
  <c r="AR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B17" i="1"/>
  <c r="AA17" i="1"/>
  <c r="Z17" i="1"/>
  <c r="Y17" i="1"/>
  <c r="X17" i="1"/>
  <c r="W17" i="1"/>
  <c r="V17" i="1"/>
  <c r="U17" i="1"/>
  <c r="T17" i="1"/>
  <c r="S17" i="1"/>
  <c r="R17" i="1"/>
  <c r="Q17" i="1"/>
  <c r="N17" i="1"/>
  <c r="M17" i="1"/>
  <c r="L17" i="1"/>
  <c r="K17" i="1"/>
  <c r="J17" i="1"/>
  <c r="I17" i="1"/>
  <c r="H17" i="1"/>
  <c r="G17" i="1"/>
  <c r="F17" i="1"/>
  <c r="E17" i="1"/>
  <c r="D17" i="1"/>
  <c r="C17" i="1"/>
  <c r="O23" i="1"/>
  <c r="O22" i="1"/>
  <c r="O9" i="1"/>
  <c r="AC8" i="1"/>
  <c r="AC5" i="1"/>
  <c r="AQ5" i="1"/>
  <c r="O13" i="1"/>
  <c r="O2" i="1"/>
  <c r="AC2" i="1"/>
  <c r="AQ2" i="1"/>
  <c r="BE2" i="1"/>
  <c r="AQ16" i="1"/>
  <c r="AQ14" i="1"/>
  <c r="AC16" i="1"/>
  <c r="AC14" i="1"/>
  <c r="O16" i="1"/>
  <c r="O14" i="1"/>
  <c r="BE16" i="1"/>
  <c r="BE6" i="1"/>
  <c r="AQ6" i="1"/>
  <c r="AC7" i="1"/>
  <c r="AC6" i="1"/>
  <c r="O6" i="1"/>
  <c r="O12" i="1"/>
  <c r="AQ7" i="1"/>
  <c r="O7" i="1"/>
  <c r="BE10" i="1"/>
  <c r="AQ10" i="1"/>
  <c r="AC10" i="1"/>
  <c r="O10" i="1"/>
  <c r="O19" i="1"/>
  <c r="O20" i="1"/>
  <c r="O3" i="1"/>
  <c r="O5" i="1"/>
  <c r="O8" i="1"/>
  <c r="O11" i="1"/>
  <c r="B37" i="1"/>
  <c r="K34" i="1"/>
  <c r="J34" i="1"/>
  <c r="I34" i="1"/>
  <c r="H34" i="1"/>
  <c r="G34" i="1"/>
  <c r="F34" i="1"/>
  <c r="E34" i="1"/>
  <c r="D34" i="1"/>
  <c r="C34" i="1"/>
  <c r="BE23" i="1"/>
  <c r="AQ23" i="1"/>
  <c r="AC23" i="1"/>
  <c r="BE19" i="1"/>
  <c r="AQ19" i="1"/>
  <c r="AC19" i="1"/>
  <c r="BE20" i="1"/>
  <c r="AQ20" i="1"/>
  <c r="AC20" i="1"/>
  <c r="BE14" i="1"/>
  <c r="BE9" i="1"/>
  <c r="AQ9" i="1"/>
  <c r="AC9" i="1"/>
  <c r="BE3" i="1"/>
  <c r="AQ3" i="1"/>
  <c r="AC3" i="1"/>
  <c r="BE5" i="1"/>
  <c r="BE8" i="1"/>
  <c r="AQ8" i="1"/>
  <c r="BE11" i="1"/>
  <c r="AQ11" i="1"/>
  <c r="AC11" i="1"/>
  <c r="C1" i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R21" i="1" l="1"/>
  <c r="AF21" i="1" s="1"/>
  <c r="BD21" i="1"/>
  <c r="V21" i="1"/>
  <c r="AJ21" i="1" s="1"/>
  <c r="AV21" i="1"/>
  <c r="AZ21" i="1"/>
  <c r="Q21" i="1"/>
  <c r="AE21" i="1" s="1"/>
  <c r="W21" i="1"/>
  <c r="AK21" i="1" s="1"/>
  <c r="X21" i="1"/>
  <c r="AL21" i="1" s="1"/>
  <c r="AX21" i="1"/>
  <c r="AY21" i="1"/>
  <c r="BA21" i="1"/>
  <c r="Y21" i="1"/>
  <c r="AM21" i="1" s="1"/>
  <c r="Z21" i="1"/>
  <c r="AN21" i="1" s="1"/>
  <c r="S21" i="1"/>
  <c r="AG21" i="1" s="1"/>
  <c r="AA21" i="1"/>
  <c r="AO21" i="1" s="1"/>
  <c r="T21" i="1"/>
  <c r="AH21" i="1" s="1"/>
  <c r="AT21" i="1"/>
  <c r="BB21" i="1"/>
  <c r="U21" i="1"/>
  <c r="AI21" i="1" s="1"/>
  <c r="AU21" i="1"/>
  <c r="BC21" i="1"/>
  <c r="AW21" i="1"/>
  <c r="C37" i="1"/>
  <c r="B24" i="1"/>
  <c r="C24" i="1" s="1"/>
  <c r="D24" i="1" s="1"/>
  <c r="E24" i="1" s="1"/>
  <c r="F24" i="1" s="1"/>
  <c r="G24" i="1" s="1"/>
  <c r="H24" i="1" s="1"/>
  <c r="I24" i="1" s="1"/>
  <c r="J24" i="1" s="1"/>
  <c r="K24" i="1" s="1"/>
  <c r="L24" i="1" s="1"/>
  <c r="M24" i="1" s="1"/>
  <c r="N24" i="1" s="1"/>
  <c r="BE7" i="1"/>
  <c r="BF7" i="1" s="1"/>
  <c r="AQ22" i="1"/>
  <c r="BE22" i="1"/>
  <c r="BF2" i="1"/>
  <c r="BF13" i="1"/>
  <c r="AC22" i="1"/>
  <c r="BF14" i="1"/>
  <c r="BF16" i="1"/>
  <c r="O15" i="1"/>
  <c r="BF6" i="1"/>
  <c r="AQ15" i="1"/>
  <c r="AC15" i="1"/>
  <c r="BE15" i="1"/>
  <c r="B40" i="1"/>
  <c r="BF12" i="1"/>
  <c r="BF10" i="1"/>
  <c r="BF19" i="1"/>
  <c r="O21" i="1"/>
  <c r="BF3" i="1"/>
  <c r="BF23" i="1"/>
  <c r="BF20" i="1"/>
  <c r="BF9" i="1"/>
  <c r="BF11" i="1"/>
  <c r="BF5" i="1"/>
  <c r="BF8" i="1"/>
  <c r="AQ21" i="1" l="1"/>
  <c r="BE21" i="1"/>
  <c r="BF22" i="1"/>
  <c r="BF15" i="1"/>
  <c r="AC21" i="1" l="1"/>
  <c r="BF21" i="1" l="1"/>
  <c r="BE18" i="1" l="1"/>
  <c r="BE24" i="1" s="1"/>
  <c r="AC18" i="1"/>
  <c r="AC24" i="1" s="1"/>
  <c r="AQ18" i="1"/>
  <c r="AQ24" i="1" s="1"/>
  <c r="O18" i="1"/>
  <c r="O24" i="1" s="1"/>
  <c r="BF18" i="1" l="1"/>
  <c r="BF24" i="1" s="1"/>
  <c r="B17" i="1"/>
  <c r="B25" i="1" s="1"/>
  <c r="C25" i="1" l="1"/>
  <c r="D25" i="1" l="1"/>
  <c r="E25" i="1"/>
  <c r="F25" i="1" l="1"/>
  <c r="G25" i="1" l="1"/>
  <c r="H25" i="1" l="1"/>
  <c r="I25" i="1"/>
  <c r="O4" i="1" l="1"/>
  <c r="O17" i="1" s="1"/>
  <c r="O25" i="1" l="1"/>
  <c r="P24" i="1" s="1"/>
  <c r="J25" i="1"/>
  <c r="K25" i="1" l="1"/>
  <c r="L25" i="1" l="1"/>
  <c r="M25" i="1" l="1"/>
  <c r="N25" i="1"/>
  <c r="P17" i="1" l="1"/>
  <c r="P25" i="1" l="1"/>
  <c r="Q24" i="1" s="1"/>
  <c r="Q25" i="1" l="1"/>
  <c r="R24" i="1" s="1"/>
  <c r="R25" i="1" l="1"/>
  <c r="S24" i="1" s="1"/>
  <c r="S25" i="1" l="1"/>
  <c r="T24" i="1" s="1"/>
  <c r="T25" i="1" l="1"/>
  <c r="U24" i="1" s="1"/>
  <c r="U25" i="1" l="1"/>
  <c r="V24" i="1" s="1"/>
  <c r="V25" i="1" l="1"/>
  <c r="W24" i="1" s="1"/>
  <c r="W25" i="1" l="1"/>
  <c r="AC4" i="1" l="1"/>
  <c r="X24" i="1"/>
  <c r="X25" i="1" s="1"/>
  <c r="Y24" i="1" s="1"/>
  <c r="AC17" i="1"/>
  <c r="AC25" i="1" s="1"/>
  <c r="AD24" i="1" s="1"/>
  <c r="Y25" i="1" l="1"/>
  <c r="Z24" i="1" s="1"/>
  <c r="Z25" i="1" l="1"/>
  <c r="AA24" i="1" s="1"/>
  <c r="AA25" i="1" l="1"/>
  <c r="AB24" i="1" s="1"/>
  <c r="AB25" i="1" s="1"/>
  <c r="AD17" i="1" l="1"/>
  <c r="AD25" i="1" l="1"/>
  <c r="AE24" i="1" s="1"/>
  <c r="AE25" i="1" s="1"/>
  <c r="AF24" i="1" s="1"/>
  <c r="AF25" i="1" l="1"/>
  <c r="AG24" i="1" s="1"/>
  <c r="AG25" i="1" l="1"/>
  <c r="AH24" i="1" s="1"/>
  <c r="AH25" i="1" l="1"/>
  <c r="AI24" i="1" s="1"/>
  <c r="AI25" i="1" s="1"/>
  <c r="AJ24" i="1" s="1"/>
  <c r="AJ25" i="1" l="1"/>
  <c r="AK24" i="1" s="1"/>
  <c r="AK25" i="1" l="1"/>
  <c r="AL24" i="1" s="1"/>
  <c r="AL25" i="1" l="1"/>
  <c r="AM24" i="1" s="1"/>
  <c r="AQ4" i="1" l="1"/>
  <c r="AQ17" i="1" s="1"/>
  <c r="AM25" i="1" l="1"/>
  <c r="AQ25" i="1"/>
  <c r="AR24" i="1" s="1"/>
  <c r="AN24" i="1" l="1"/>
  <c r="AN25" i="1" s="1"/>
  <c r="AO24" i="1" s="1"/>
  <c r="AO25" i="1" s="1"/>
  <c r="AP24" i="1" s="1"/>
  <c r="AP25" i="1" s="1"/>
  <c r="AR25" i="1" l="1"/>
  <c r="AS24" i="1" s="1"/>
  <c r="AS25" i="1" s="1"/>
  <c r="AT24" i="1" s="1"/>
  <c r="AT25" i="1" l="1"/>
  <c r="AU24" i="1" s="1"/>
  <c r="AU25" i="1" l="1"/>
  <c r="AV24" i="1" s="1"/>
  <c r="AV25" i="1" l="1"/>
  <c r="AW24" i="1" s="1"/>
  <c r="AW25" i="1" s="1"/>
  <c r="AX24" i="1" s="1"/>
  <c r="AX25" i="1" l="1"/>
  <c r="AY24" i="1" s="1"/>
  <c r="AY25" i="1" l="1"/>
  <c r="AZ24" i="1" s="1"/>
  <c r="AZ25" i="1" l="1"/>
  <c r="BA24" i="1" s="1"/>
  <c r="BA25" i="1" l="1"/>
  <c r="BB24" i="1" s="1"/>
  <c r="BB25" i="1" s="1"/>
  <c r="BC24" i="1" s="1"/>
  <c r="BC25" i="1" l="1"/>
  <c r="BD24" i="1" s="1"/>
  <c r="BD25" i="1" s="1"/>
  <c r="BE17" i="1" l="1"/>
  <c r="BE25" i="1" s="1"/>
  <c r="BF4" i="1"/>
  <c r="BF17" i="1" l="1"/>
  <c r="BF25" i="1" s="1"/>
  <c r="C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tc={B4A1F298-CDB5-487E-B215-EECE064A3E83}</author>
    <author>tc={6FB87BB2-DD21-4DA3-919B-FF30B0F4AD57}</author>
    <author>tc={1EC39C63-C61E-447C-8BDF-2D4956740EAF}</author>
    <author>tc={9C20091A-D362-4496-83DA-FA539560097B}</author>
    <author>tc={58FC39C5-4C7C-4647-AE55-1E45D447D506}</author>
    <author>tc={F52179FC-D113-4128-8AEC-F00E58C6202A}</author>
    <author>tc={06B25615-ACD3-4324-8355-FA20D083F987}</author>
    <author>tc={3AE6F7DC-4535-43DA-BFFD-7C585CC37669}</author>
    <author>tc={A7C03510-1D80-4101-A4FD-97408BDF8224}</author>
    <author>tc={C80F882F-58A5-4C62-98CE-F86F6971772E}</author>
    <author>tc={2A7D9693-81E7-4CB8-A73A-DBB49446FB5E}</author>
  </authors>
  <commentList>
    <comment ref="A5" authorId="0" shapeId="0" xr:uid="{B4A1F298-CDB5-487E-B215-EECE064A3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Spotify, Netflix, YouTube</t>
      </text>
    </comment>
    <comment ref="A6" authorId="1" shapeId="0" xr:uid="{6FB87BB2-DD21-4DA3-919B-FF30B0F4AD57}">
      <text>
        <t>[Threaded comment]
Your version of Excel allows you to read this threaded comment; however, any edits to it will get removed if the file is opened in a newer version of Excel. Learn more: https://go.microsoft.com/fwlink/?linkid=870924
Comment:
    Gasoline</t>
      </text>
    </comment>
    <comment ref="A7" authorId="2" shapeId="0" xr:uid="{1EC39C63-C61E-447C-8BDF-2D4956740EAF}">
      <text>
        <t>[Threaded comment]
Your version of Excel allows you to read this threaded comment; however, any edits to it will get removed if the file is opened in a newer version of Excel. Learn more: https://go.microsoft.com/fwlink/?linkid=870924
Comment:
    Flowers, Cards, Bike, etc.</t>
      </text>
    </comment>
    <comment ref="A9" authorId="3" shapeId="0" xr:uid="{9C20091A-D362-4496-83DA-FA539560097B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Monthly, Annual, Upgrade</t>
      </text>
    </comment>
    <comment ref="A10" authorId="4" shapeId="0" xr:uid="{58FC39C5-4C7C-4647-AE55-1E45D447D506}">
      <text>
        <t>[Threaded comment]
Your version of Excel allows you to read this threaded comment; however, any edits to it will get removed if the file is opened in a newer version of Excel. Learn more: https://go.microsoft.com/fwlink/?linkid=870924
Comment:
    Car, Renter’s, Plates, Tags, Emissions, Registration</t>
      </text>
    </comment>
    <comment ref="A11" authorId="5" shapeId="0" xr:uid="{F52179FC-D113-4128-8AEC-F00E58C6202A}">
      <text>
        <t>[Threaded comment]
Your version of Excel allows you to read this threaded comment; however, any edits to it will get removed if the file is opened in a newer version of Excel. Learn more: https://go.microsoft.com/fwlink/?linkid=870924
Comment:
    Microsoft, Laundry</t>
      </text>
    </comment>
    <comment ref="A12" authorId="6" shapeId="0" xr:uid="{06B25615-ACD3-4324-8355-FA20D083F987}">
      <text>
        <t>[Threaded comment]
Your version of Excel allows you to read this threaded comment; however, any edits to it will get removed if the file is opened in a newer version of Excel. Learn more: https://go.microsoft.com/fwlink/?linkid=870924
Comment:
    DUI</t>
      </text>
    </comment>
    <comment ref="A14" authorId="7" shapeId="0" xr:uid="{3AE6F7DC-4535-43DA-BFFD-7C585CC37669}">
      <text>
        <t>[Threaded comment]
Your version of Excel allows you to read this threaded comment; however, any edits to it will get removed if the file is opened in a newer version of Excel. Learn more: https://go.microsoft.com/fwlink/?linkid=870924
Comment:
    Phone, Service, Fees</t>
      </text>
    </comment>
    <comment ref="A15" authorId="8" shapeId="0" xr:uid="{A7C03510-1D80-4101-A4FD-97408BDF8224}">
      <text>
        <t>[Threaded comment]
Your version of Excel allows you to read this threaded comment; however, any edits to it will get removed if the file is opened in a newer version of Excel. Learn more: https://go.microsoft.com/fwlink/?linkid=870924
Comment:
    Downtown?</t>
      </text>
    </comment>
    <comment ref="A16" authorId="9" shapeId="0" xr:uid="{C80F882F-58A5-4C62-98CE-F86F697177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</t>
      </text>
    </comment>
    <comment ref="B39" authorId="10" shapeId="0" xr:uid="{2A7D9693-81E7-4CB8-A73A-DBB49446FB5E}">
      <text>
        <t>[Threaded comment]
Your version of Excel allows you to read this threaded comment; however, any edits to it will get removed if the file is opened in a newer version of Excel. Learn more: https://go.microsoft.com/fwlink/?linkid=870924
Comment:
    Duration
Reply:
    2.652 years @ Min Wage 
Reply:
    .78715 years @ 66K</t>
      </text>
    </comment>
  </commentList>
</comments>
</file>

<file path=xl/sharedStrings.xml><?xml version="1.0" encoding="utf-8"?>
<sst xmlns="http://schemas.openxmlformats.org/spreadsheetml/2006/main" count="58" uniqueCount="55">
  <si>
    <t>Type</t>
  </si>
  <si>
    <t>Q1 Act</t>
  </si>
  <si>
    <t>Q2 Act</t>
  </si>
  <si>
    <t>Q3 Act</t>
  </si>
  <si>
    <t>Q4 Act</t>
  </si>
  <si>
    <t>TEP</t>
  </si>
  <si>
    <t>Rent</t>
  </si>
  <si>
    <t>Verizon</t>
  </si>
  <si>
    <t>TOTALS</t>
  </si>
  <si>
    <t>Gift</t>
  </si>
  <si>
    <t>Pay Stub</t>
  </si>
  <si>
    <t>SNAP</t>
  </si>
  <si>
    <t>CSL</t>
  </si>
  <si>
    <t>Tax Return</t>
  </si>
  <si>
    <t>Loans:</t>
  </si>
  <si>
    <t>NELNET</t>
  </si>
  <si>
    <t>Interest</t>
  </si>
  <si>
    <t>Federal Forgiveness</t>
  </si>
  <si>
    <t>SAVE Amount</t>
  </si>
  <si>
    <t>LendingPoint</t>
  </si>
  <si>
    <t>Buffalo Lake</t>
  </si>
  <si>
    <t>Credit Limit:</t>
  </si>
  <si>
    <t>Capital One</t>
  </si>
  <si>
    <t>Discover</t>
  </si>
  <si>
    <t>Credit One</t>
  </si>
  <si>
    <t>Merrick</t>
  </si>
  <si>
    <t>Revvi</t>
  </si>
  <si>
    <t>Premier Bank</t>
  </si>
  <si>
    <t>Destiny</t>
  </si>
  <si>
    <t>Old Navy</t>
  </si>
  <si>
    <t>FNBO</t>
  </si>
  <si>
    <t>Credit Balance:</t>
  </si>
  <si>
    <t xml:space="preserve">Loans Balance: </t>
  </si>
  <si>
    <t>Delinquent Accounts:</t>
  </si>
  <si>
    <t>The Springs</t>
  </si>
  <si>
    <t>Total Debt:</t>
  </si>
  <si>
    <t>VASA</t>
  </si>
  <si>
    <t>Credit Card</t>
  </si>
  <si>
    <t>Lottery</t>
  </si>
  <si>
    <t>2025 Actual</t>
  </si>
  <si>
    <t>Fuel</t>
  </si>
  <si>
    <t>DES Mid-Contract Approval</t>
  </si>
  <si>
    <t>Mobile Service</t>
  </si>
  <si>
    <t>Gym</t>
  </si>
  <si>
    <t>Digital Entertainment</t>
  </si>
  <si>
    <t>Amazon</t>
  </si>
  <si>
    <t>Microsoft</t>
  </si>
  <si>
    <t>Laundry</t>
  </si>
  <si>
    <t>Legal</t>
  </si>
  <si>
    <t>Insurance</t>
  </si>
  <si>
    <t>Debt Consolidation</t>
  </si>
  <si>
    <t>Time Frame (Years):</t>
  </si>
  <si>
    <t>Food &amp; Beverage</t>
  </si>
  <si>
    <t>Non-Contributable</t>
  </si>
  <si>
    <t>Taxes Due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</si>
</sst>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\$#,##0.00"/>
    <numFmt numFmtId="165" formatCode="\$#,##0"/>
    <numFmt numFmtId="166" formatCode="0.00_);[Red]\(0.00\)"/>
    <numFmt numFmtId="167" formatCode="\$#,##0.00_);[Red]&quot;($&quot;#,##0.00\)"/>
    <numFmt numFmtId="168" formatCode="\$#,##0.00;[Red]\$#,##0.00"/>
    <numFmt numFmtId="169" formatCode="&quot;$&quot;#,##0.00;[Red]&quot;$&quot;#,##0.00"/>
    <numFmt numFmtId="170" formatCode="&quot;$&quot;#,##0.00"/>
  </numFmts>
  <fonts count="21" x14ac:knownFonts="1">
    <font>
      <sz val="11"/>
      <color rgb="FF000000"/>
      <name val="Calibri"/>
      <charset val="1"/>
    </font>
    <font>
      <sz val="12"/>
      <name val="Book Antiqua"/>
      <charset val="1"/>
    </font>
    <font>
      <b/>
      <u val="double"/>
      <sz val="12"/>
      <name val="Book Antiqua"/>
      <charset val="1"/>
    </font>
    <font>
      <sz val="12"/>
      <color rgb="FF339966"/>
      <name val="Book Antiqua"/>
      <charset val="1"/>
    </font>
    <font>
      <sz val="12"/>
      <color theme="1"/>
      <name val="Book Antiqua"/>
      <family val="1"/>
      <charset val="1"/>
    </font>
    <font>
      <sz val="12"/>
      <name val="Book Antiqua"/>
      <family val="1"/>
      <charset val="1"/>
    </font>
    <font>
      <b/>
      <sz val="12"/>
      <name val="Book Antiqua"/>
      <charset val="1"/>
    </font>
    <font>
      <b/>
      <sz val="12"/>
      <name val="Book Antiqua"/>
      <family val="1"/>
      <charset val="1"/>
    </font>
    <font>
      <b/>
      <sz val="12"/>
      <color theme="1"/>
      <name val="Book Antiqua"/>
      <family val="1"/>
      <charset val="1"/>
    </font>
    <font>
      <b/>
      <u/>
      <sz val="12"/>
      <name val="Book Antiqua"/>
      <family val="1"/>
      <charset val="1"/>
    </font>
    <font>
      <u/>
      <sz val="12"/>
      <name val="Book Antiqua"/>
      <family val="1"/>
      <charset val="1"/>
    </font>
    <font>
      <b/>
      <sz val="12"/>
      <color rgb="FF000000"/>
      <name val="Book Antiqua"/>
      <charset val="1"/>
    </font>
    <font>
      <b/>
      <sz val="12"/>
      <color rgb="FF00B050"/>
      <name val="Book Antiqua"/>
      <family val="1"/>
      <charset val="1"/>
    </font>
    <font>
      <sz val="12"/>
      <name val="Book Antiqua"/>
      <family val="1"/>
    </font>
    <font>
      <b/>
      <sz val="12"/>
      <color rgb="FF00B050"/>
      <name val="Book Antiqua"/>
      <family val="1"/>
    </font>
    <font>
      <b/>
      <sz val="12"/>
      <name val="Book Antiqua"/>
      <family val="1"/>
    </font>
    <font>
      <b/>
      <u val="double"/>
      <sz val="12"/>
      <name val="Book Antiqua"/>
      <family val="1"/>
    </font>
    <font>
      <b/>
      <sz val="12"/>
      <color theme="1"/>
      <name val="Book Antiqua"/>
      <family val="1"/>
    </font>
    <font>
      <b/>
      <sz val="12"/>
      <color rgb="FFFF0000"/>
      <name val="Book Antiqua"/>
      <family val="1"/>
    </font>
    <font>
      <b/>
      <sz val="12"/>
      <color theme="0"/>
      <name val="Book Antiqua"/>
      <family val="1"/>
    </font>
    <font>
      <b/>
      <u/>
      <sz val="12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/>
      <top/>
      <bottom/>
      <diagonal/>
    </border>
    <border>
      <left style="hair">
        <color auto="1"/>
      </left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hair">
        <color auto="1"/>
      </right>
      <top style="thick">
        <color auto="1"/>
      </top>
      <bottom style="thick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thick">
        <color auto="1"/>
      </bottom>
      <diagonal/>
    </border>
    <border>
      <left style="hair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hair">
        <color auto="1"/>
      </bottom>
      <diagonal/>
    </border>
    <border>
      <left/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/>
      <top style="thick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ck">
        <color auto="1"/>
      </left>
      <right style="thick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" fontId="2" fillId="0" borderId="0" xfId="0" applyNumberFormat="1" applyFont="1" applyAlignment="1">
      <alignment horizontal="center"/>
    </xf>
    <xf numFmtId="16" fontId="2" fillId="2" borderId="1" xfId="0" applyNumberFormat="1" applyFont="1" applyFill="1" applyBorder="1" applyAlignment="1">
      <alignment horizontal="center"/>
    </xf>
    <xf numFmtId="4" fontId="1" fillId="0" borderId="0" xfId="0" applyNumberFormat="1" applyFont="1"/>
    <xf numFmtId="4" fontId="1" fillId="0" borderId="3" xfId="0" applyNumberFormat="1" applyFont="1" applyBorder="1"/>
    <xf numFmtId="4" fontId="1" fillId="0" borderId="4" xfId="0" applyNumberFormat="1" applyFont="1" applyBorder="1"/>
    <xf numFmtId="164" fontId="1" fillId="2" borderId="2" xfId="0" applyNumberFormat="1" applyFont="1" applyFill="1" applyBorder="1"/>
    <xf numFmtId="4" fontId="1" fillId="0" borderId="5" xfId="0" applyNumberFormat="1" applyFont="1" applyBorder="1"/>
    <xf numFmtId="4" fontId="1" fillId="0" borderId="6" xfId="0" applyNumberFormat="1" applyFont="1" applyBorder="1"/>
    <xf numFmtId="4" fontId="1" fillId="0" borderId="8" xfId="0" applyNumberFormat="1" applyFont="1" applyBorder="1"/>
    <xf numFmtId="164" fontId="1" fillId="2" borderId="9" xfId="0" applyNumberFormat="1" applyFont="1" applyFill="1" applyBorder="1"/>
    <xf numFmtId="4" fontId="3" fillId="0" borderId="8" xfId="0" applyNumberFormat="1" applyFont="1" applyBorder="1"/>
    <xf numFmtId="38" fontId="5" fillId="0" borderId="10" xfId="0" applyNumberFormat="1" applyFont="1" applyBorder="1"/>
    <xf numFmtId="2" fontId="6" fillId="0" borderId="11" xfId="0" applyNumberFormat="1" applyFont="1" applyBorder="1"/>
    <xf numFmtId="2" fontId="6" fillId="2" borderId="13" xfId="0" applyNumberFormat="1" applyFont="1" applyFill="1" applyBorder="1"/>
    <xf numFmtId="38" fontId="6" fillId="0" borderId="0" xfId="0" applyNumberFormat="1" applyFont="1"/>
    <xf numFmtId="2" fontId="1" fillId="0" borderId="15" xfId="0" applyNumberFormat="1" applyFont="1" applyBorder="1"/>
    <xf numFmtId="2" fontId="1" fillId="0" borderId="16" xfId="0" applyNumberFormat="1" applyFont="1" applyBorder="1"/>
    <xf numFmtId="2" fontId="1" fillId="0" borderId="17" xfId="0" applyNumberFormat="1" applyFont="1" applyBorder="1"/>
    <xf numFmtId="2" fontId="1" fillId="0" borderId="18" xfId="0" applyNumberFormat="1" applyFont="1" applyBorder="1"/>
    <xf numFmtId="0" fontId="7" fillId="0" borderId="19" xfId="0" applyFont="1" applyBorder="1"/>
    <xf numFmtId="2" fontId="1" fillId="0" borderId="20" xfId="0" applyNumberFormat="1" applyFont="1" applyBorder="1"/>
    <xf numFmtId="2" fontId="1" fillId="0" borderId="21" xfId="0" applyNumberFormat="1" applyFont="1" applyBorder="1"/>
    <xf numFmtId="2" fontId="1" fillId="0" borderId="0" xfId="0" applyNumberFormat="1" applyFont="1"/>
    <xf numFmtId="0" fontId="8" fillId="0" borderId="2" xfId="0" applyFont="1" applyBorder="1"/>
    <xf numFmtId="2" fontId="1" fillId="0" borderId="6" xfId="0" applyNumberFormat="1" applyFont="1" applyBorder="1"/>
    <xf numFmtId="2" fontId="1" fillId="0" borderId="5" xfId="0" applyNumberFormat="1" applyFont="1" applyBorder="1"/>
    <xf numFmtId="2" fontId="1" fillId="0" borderId="3" xfId="0" applyNumberFormat="1" applyFont="1" applyBorder="1"/>
    <xf numFmtId="0" fontId="7" fillId="0" borderId="2" xfId="0" applyFont="1" applyBorder="1"/>
    <xf numFmtId="166" fontId="6" fillId="0" borderId="10" xfId="0" applyNumberFormat="1" applyFont="1" applyBorder="1"/>
    <xf numFmtId="166" fontId="6" fillId="0" borderId="11" xfId="0" applyNumberFormat="1" applyFont="1" applyBorder="1"/>
    <xf numFmtId="166" fontId="6" fillId="0" borderId="12" xfId="0" applyNumberFormat="1" applyFont="1" applyBorder="1"/>
    <xf numFmtId="166" fontId="6" fillId="2" borderId="13" xfId="0" applyNumberFormat="1" applyFont="1" applyFill="1" applyBorder="1"/>
    <xf numFmtId="38" fontId="1" fillId="0" borderId="0" xfId="0" applyNumberFormat="1" applyFont="1"/>
    <xf numFmtId="0" fontId="6" fillId="0" borderId="0" xfId="0" applyFont="1"/>
    <xf numFmtId="0" fontId="7" fillId="0" borderId="0" xfId="0" applyFont="1"/>
    <xf numFmtId="0" fontId="7" fillId="0" borderId="5" xfId="0" applyFont="1" applyBorder="1"/>
    <xf numFmtId="0" fontId="8" fillId="0" borderId="0" xfId="0" applyFont="1"/>
    <xf numFmtId="0" fontId="9" fillId="3" borderId="0" xfId="0" applyFont="1" applyFill="1"/>
    <xf numFmtId="0" fontId="5" fillId="3" borderId="6" xfId="0" applyFont="1" applyFill="1" applyBorder="1"/>
    <xf numFmtId="0" fontId="5" fillId="3" borderId="0" xfId="0" applyFont="1" applyFill="1"/>
    <xf numFmtId="0" fontId="1" fillId="3" borderId="0" xfId="0" applyFont="1" applyFill="1"/>
    <xf numFmtId="40" fontId="1" fillId="0" borderId="0" xfId="0" applyNumberFormat="1" applyFont="1"/>
    <xf numFmtId="167" fontId="1" fillId="0" borderId="0" xfId="0" applyNumberFormat="1" applyFont="1"/>
    <xf numFmtId="165" fontId="1" fillId="0" borderId="0" xfId="0" applyNumberFormat="1" applyFont="1"/>
    <xf numFmtId="0" fontId="10" fillId="0" borderId="0" xfId="0" applyFont="1"/>
    <xf numFmtId="0" fontId="11" fillId="0" borderId="0" xfId="0" applyFont="1"/>
    <xf numFmtId="4" fontId="5" fillId="0" borderId="0" xfId="0" applyNumberFormat="1" applyFont="1"/>
    <xf numFmtId="0" fontId="5" fillId="0" borderId="0" xfId="0" applyFont="1"/>
    <xf numFmtId="0" fontId="7" fillId="0" borderId="7" xfId="0" applyFont="1" applyBorder="1"/>
    <xf numFmtId="0" fontId="13" fillId="4" borderId="0" xfId="0" applyFont="1" applyFill="1"/>
    <xf numFmtId="0" fontId="1" fillId="0" borderId="8" xfId="0" applyFont="1" applyBorder="1"/>
    <xf numFmtId="4" fontId="4" fillId="0" borderId="3" xfId="0" applyNumberFormat="1" applyFont="1" applyBorder="1"/>
    <xf numFmtId="4" fontId="13" fillId="0" borderId="8" xfId="0" applyNumberFormat="1" applyFont="1" applyBorder="1"/>
    <xf numFmtId="4" fontId="3" fillId="0" borderId="3" xfId="0" applyNumberFormat="1" applyFont="1" applyBorder="1"/>
    <xf numFmtId="164" fontId="12" fillId="0" borderId="0" xfId="0" applyNumberFormat="1" applyFont="1"/>
    <xf numFmtId="170" fontId="14" fillId="0" borderId="0" xfId="0" applyNumberFormat="1" applyFont="1"/>
    <xf numFmtId="0" fontId="15" fillId="0" borderId="7" xfId="0" applyFont="1" applyBorder="1"/>
    <xf numFmtId="166" fontId="6" fillId="4" borderId="11" xfId="0" applyNumberFormat="1" applyFont="1" applyFill="1" applyBorder="1"/>
    <xf numFmtId="40" fontId="6" fillId="2" borderId="13" xfId="0" applyNumberFormat="1" applyFont="1" applyFill="1" applyBorder="1"/>
    <xf numFmtId="8" fontId="6" fillId="2" borderId="13" xfId="0" applyNumberFormat="1" applyFont="1" applyFill="1" applyBorder="1"/>
    <xf numFmtId="166" fontId="15" fillId="0" borderId="11" xfId="0" applyNumberFormat="1" applyFont="1" applyBorder="1"/>
    <xf numFmtId="16" fontId="16" fillId="2" borderId="1" xfId="0" applyNumberFormat="1" applyFont="1" applyFill="1" applyBorder="1" applyAlignment="1">
      <alignment horizontal="center"/>
    </xf>
    <xf numFmtId="166" fontId="17" fillId="4" borderId="12" xfId="0" applyNumberFormat="1" applyFont="1" applyFill="1" applyBorder="1"/>
    <xf numFmtId="166" fontId="17" fillId="4" borderId="11" xfId="0" applyNumberFormat="1" applyFont="1" applyFill="1" applyBorder="1"/>
    <xf numFmtId="0" fontId="19" fillId="5" borderId="0" xfId="0" applyFont="1" applyFill="1"/>
    <xf numFmtId="0" fontId="15" fillId="0" borderId="0" xfId="0" applyFont="1"/>
    <xf numFmtId="170" fontId="1" fillId="0" borderId="0" xfId="0" applyNumberFormat="1" applyFont="1"/>
    <xf numFmtId="164" fontId="18" fillId="0" borderId="0" xfId="0" applyNumberFormat="1" applyFont="1"/>
    <xf numFmtId="4" fontId="18" fillId="0" borderId="0" xfId="0" applyNumberFormat="1" applyFont="1"/>
    <xf numFmtId="167" fontId="15" fillId="0" borderId="0" xfId="0" applyNumberFormat="1" applyFont="1"/>
    <xf numFmtId="167" fontId="14" fillId="0" borderId="0" xfId="0" applyNumberFormat="1" applyFont="1"/>
    <xf numFmtId="167" fontId="18" fillId="0" borderId="0" xfId="0" applyNumberFormat="1" applyFont="1"/>
    <xf numFmtId="169" fontId="18" fillId="0" borderId="0" xfId="0" applyNumberFormat="1" applyFont="1"/>
    <xf numFmtId="0" fontId="1" fillId="0" borderId="3" xfId="0" applyFont="1" applyBorder="1"/>
    <xf numFmtId="0" fontId="8" fillId="0" borderId="14" xfId="0" applyFont="1" applyBorder="1"/>
    <xf numFmtId="168" fontId="18" fillId="0" borderId="0" xfId="0" applyNumberFormat="1" applyFont="1"/>
    <xf numFmtId="4" fontId="3" fillId="0" borderId="6" xfId="0" applyNumberFormat="1" applyFont="1" applyBorder="1"/>
    <xf numFmtId="2" fontId="15" fillId="0" borderId="0" xfId="0" applyNumberFormat="1" applyFont="1"/>
    <xf numFmtId="0" fontId="20" fillId="4" borderId="0" xfId="0" applyFont="1" applyFill="1"/>
    <xf numFmtId="2" fontId="1" fillId="0" borderId="8" xfId="0" applyNumberFormat="1" applyFont="1" applyBorder="1"/>
    <xf numFmtId="8" fontId="1" fillId="0" borderId="0" xfId="0" applyNumberFormat="1" applyFont="1"/>
    <xf numFmtId="170" fontId="1" fillId="2" borderId="2" xfId="0" applyNumberFormat="1" applyFont="1" applyFill="1" applyBorder="1"/>
    <xf numFmtId="168" fontId="18" fillId="0" borderId="0" xfId="0" applyNumberFormat="1" applyFont="1" applyFill="1"/>
    <xf numFmtId="4" fontId="1" fillId="0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B05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Garofalo" id="{C25DA08F-AFEC-4D2E-9818-A5ECD8C603A9}" userId="3fdae5e8c0883409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" dT="2025-06-09T02:13:53.81" personId="{C25DA08F-AFEC-4D2E-9818-A5ECD8C603A9}" id="{B4A1F298-CDB5-487E-B215-EECE064A3E83}">
    <text>Spotify, Netflix, YouTube</text>
  </threadedComment>
  <threadedComment ref="A6" dT="2025-06-16T03:18:23.88" personId="{C25DA08F-AFEC-4D2E-9818-A5ECD8C603A9}" id="{6FB87BB2-DD21-4DA3-919B-FF30B0F4AD57}">
    <text>Gasoline</text>
  </threadedComment>
  <threadedComment ref="A7" dT="2025-06-16T03:21:52.39" personId="{C25DA08F-AFEC-4D2E-9818-A5ECD8C603A9}" id="{1EC39C63-C61E-447C-8BDF-2D4956740EAF}">
    <text>Flowers, Cards, Bike, etc.</text>
  </threadedComment>
  <threadedComment ref="A9" dT="2025-06-16T03:21:19.01" personId="{C25DA08F-AFEC-4D2E-9818-A5ECD8C603A9}" id="{9C20091A-D362-4496-83DA-FA539560097B}">
    <text>Monthly, Annual, Upgrade</text>
  </threadedComment>
  <threadedComment ref="A10" dT="2025-06-15T00:54:57.92" personId="{C25DA08F-AFEC-4D2E-9818-A5ECD8C603A9}" id="{58FC39C5-4C7C-4647-AE55-1E45D447D506}">
    <text>Car, Renter’s, Plates, Tags, Emissions, Registration</text>
  </threadedComment>
  <threadedComment ref="A11" dT="2025-06-09T02:13:33.50" personId="{C25DA08F-AFEC-4D2E-9818-A5ECD8C603A9}" id="{F52179FC-D113-4128-8AEC-F00E58C6202A}">
    <text>Microsoft, Laundry</text>
  </threadedComment>
  <threadedComment ref="A12" dT="2025-06-15T00:55:42.02" personId="{C25DA08F-AFEC-4D2E-9818-A5ECD8C603A9}" id="{06B25615-ACD3-4324-8355-FA20D083F987}">
    <text>DUI</text>
  </threadedComment>
  <threadedComment ref="A14" dT="2025-06-16T03:21:00.61" personId="{C25DA08F-AFEC-4D2E-9818-A5ECD8C603A9}" id="{3AE6F7DC-4535-43DA-BFFD-7C585CC37669}">
    <text>Phone, Service, Fees</text>
  </threadedComment>
  <threadedComment ref="A15" dT="2025-06-16T03:18:48.60" personId="{C25DA08F-AFEC-4D2E-9818-A5ECD8C603A9}" id="{A7C03510-1D80-4101-A4FD-97408BDF8224}">
    <text>Downtown?</text>
  </threadedComment>
  <threadedComment ref="A16" dT="2025-06-30T05:26:03.85" personId="{C25DA08F-AFEC-4D2E-9818-A5ECD8C603A9}" id="{C80F882F-58A5-4C62-98CE-F86F6971772E}">
    <text>Monthly</text>
  </threadedComment>
  <threadedComment ref="B39" dT="2025-06-16T02:20:26.57" personId="{C25DA08F-AFEC-4D2E-9818-A5ECD8C603A9}" id="{2A7D9693-81E7-4CB8-A73A-DBB49446FB5E}">
    <text>Duration</text>
  </threadedComment>
  <threadedComment ref="B39" dT="2025-06-16T02:20:43.63" personId="{C25DA08F-AFEC-4D2E-9818-A5ECD8C603A9}" id="{9981D998-8F31-4AB5-B8EE-02F0B2DDC047}" parentId="{2A7D9693-81E7-4CB8-A73A-DBB49446FB5E}">
    <text xml:space="preserve">2.652 years @ Min Wage </text>
  </threadedComment>
  <threadedComment ref="B39" dT="2025-06-16T02:22:16.72" personId="{C25DA08F-AFEC-4D2E-9818-A5ECD8C603A9}" id="{72A254E2-297A-4006-8536-0570A9167D66}" parentId="{2A7D9693-81E7-4CB8-A73A-DBB49446FB5E}">
    <text>.78715 years @ 66K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58"/>
  <sheetViews>
    <sheetView tabSelected="1" zoomScale="58" zoomScaleNormal="50" workbookViewId="0">
      <pane xSplit="1" ySplit="1" topLeftCell="AN2" activePane="bottomRight" state="frozen"/>
      <selection pane="topRight" activeCell="B1" sqref="B1"/>
      <selection pane="bottomLeft" activeCell="A2" sqref="A2"/>
      <selection pane="bottomRight" activeCell="AF2" sqref="AF2"/>
    </sheetView>
  </sheetViews>
  <sheetFormatPr defaultColWidth="10.88671875" defaultRowHeight="15" customHeight="1" x14ac:dyDescent="0.3"/>
  <cols>
    <col min="1" max="1" width="28.5546875" style="1" customWidth="1"/>
    <col min="2" max="2" width="26.6640625" style="1" customWidth="1"/>
    <col min="3" max="3" width="23.77734375" style="1" customWidth="1"/>
    <col min="4" max="4" width="21.109375" style="1" customWidth="1"/>
    <col min="5" max="5" width="26.21875" style="1" customWidth="1"/>
    <col min="6" max="6" width="20.6640625" style="1" customWidth="1"/>
    <col min="7" max="7" width="19.109375" style="1" customWidth="1"/>
    <col min="8" max="8" width="18.6640625" style="1" customWidth="1"/>
    <col min="9" max="9" width="15.6640625" style="1" customWidth="1"/>
    <col min="10" max="10" width="14.6640625" style="1" customWidth="1"/>
    <col min="11" max="11" width="13.6640625" style="1" customWidth="1"/>
    <col min="12" max="12" width="12.5546875" style="1" customWidth="1"/>
    <col min="13" max="13" width="16" style="1" customWidth="1"/>
    <col min="14" max="14" width="14.44140625" style="1" customWidth="1"/>
    <col min="15" max="15" width="14.21875" style="1" customWidth="1"/>
    <col min="16" max="16" width="14.5546875" style="1" customWidth="1"/>
    <col min="17" max="17" width="18.88671875" style="1" customWidth="1"/>
    <col min="18" max="18" width="15.109375" style="1" customWidth="1"/>
    <col min="19" max="19" width="15" style="1" customWidth="1"/>
    <col min="20" max="20" width="15.109375" style="1" customWidth="1"/>
    <col min="21" max="21" width="16" style="1" customWidth="1"/>
    <col min="22" max="22" width="14.6640625" style="1" customWidth="1"/>
    <col min="23" max="23" width="14.44140625" style="1" customWidth="1"/>
    <col min="24" max="24" width="14.33203125" style="1" customWidth="1"/>
    <col min="25" max="25" width="15.109375" style="1" customWidth="1"/>
    <col min="26" max="26" width="14.6640625" style="1" customWidth="1"/>
    <col min="27" max="27" width="14.88671875" style="1" customWidth="1"/>
    <col min="28" max="28" width="14.77734375" style="1" customWidth="1"/>
    <col min="29" max="29" width="17.21875" style="1" customWidth="1"/>
    <col min="30" max="30" width="15.5546875" style="1" customWidth="1"/>
    <col min="31" max="31" width="15.6640625" style="1" customWidth="1"/>
    <col min="32" max="32" width="16.77734375" style="1" customWidth="1"/>
    <col min="33" max="33" width="22.44140625" style="1" customWidth="1"/>
    <col min="34" max="34" width="34.88671875" style="1" customWidth="1"/>
    <col min="35" max="35" width="20.33203125" style="1" customWidth="1"/>
    <col min="36" max="36" width="15.109375" style="1" customWidth="1"/>
    <col min="37" max="37" width="15.44140625" style="1" customWidth="1"/>
    <col min="38" max="38" width="14.33203125" style="1" customWidth="1"/>
    <col min="39" max="39" width="14.88671875" style="1" customWidth="1"/>
    <col min="40" max="40" width="14.6640625" style="1" customWidth="1"/>
    <col min="41" max="41" width="15.5546875" style="1" customWidth="1"/>
    <col min="42" max="42" width="15" style="1" customWidth="1"/>
    <col min="43" max="43" width="14.109375" style="1" customWidth="1"/>
    <col min="44" max="44" width="16.6640625" style="1" customWidth="1"/>
    <col min="45" max="45" width="14.44140625" style="1" customWidth="1"/>
    <col min="46" max="46" width="14.33203125" style="1" customWidth="1"/>
    <col min="47" max="47" width="15.33203125" style="1" customWidth="1"/>
    <col min="48" max="48" width="15" style="1" customWidth="1"/>
    <col min="49" max="50" width="14.6640625" style="1" customWidth="1"/>
    <col min="51" max="51" width="14.88671875" style="1" customWidth="1"/>
    <col min="52" max="52" width="14.6640625" style="1" customWidth="1"/>
    <col min="53" max="54" width="15.109375" style="1" customWidth="1"/>
    <col min="55" max="55" width="14.33203125" style="1" customWidth="1"/>
    <col min="56" max="56" width="14.44140625" style="1" customWidth="1"/>
    <col min="57" max="57" width="16.109375" style="1" customWidth="1"/>
    <col min="58" max="58" width="19.44140625" style="1" customWidth="1"/>
    <col min="59" max="59" width="25.6640625" style="1" customWidth="1"/>
    <col min="60" max="60" width="24.33203125" style="1" customWidth="1"/>
    <col min="61" max="61" width="24.5546875" style="1" customWidth="1"/>
    <col min="62" max="16384" width="10.88671875" style="1"/>
  </cols>
  <sheetData>
    <row r="1" spans="1:58" s="2" customFormat="1" ht="16.2" thickTop="1" x14ac:dyDescent="0.3">
      <c r="A1" s="2" t="s">
        <v>0</v>
      </c>
      <c r="B1" s="3">
        <v>40914</v>
      </c>
      <c r="C1" s="3">
        <f t="shared" ref="C1:N1" si="0">B1+7</f>
        <v>40921</v>
      </c>
      <c r="D1" s="3">
        <f t="shared" si="0"/>
        <v>40928</v>
      </c>
      <c r="E1" s="3">
        <f t="shared" si="0"/>
        <v>40935</v>
      </c>
      <c r="F1" s="3">
        <f t="shared" si="0"/>
        <v>40942</v>
      </c>
      <c r="G1" s="3">
        <f t="shared" si="0"/>
        <v>40949</v>
      </c>
      <c r="H1" s="3">
        <f t="shared" si="0"/>
        <v>40956</v>
      </c>
      <c r="I1" s="3">
        <f t="shared" si="0"/>
        <v>40963</v>
      </c>
      <c r="J1" s="3">
        <f t="shared" si="0"/>
        <v>40970</v>
      </c>
      <c r="K1" s="3">
        <f t="shared" si="0"/>
        <v>40977</v>
      </c>
      <c r="L1" s="3">
        <f t="shared" si="0"/>
        <v>40984</v>
      </c>
      <c r="M1" s="3">
        <f t="shared" si="0"/>
        <v>40991</v>
      </c>
      <c r="N1" s="3">
        <f t="shared" si="0"/>
        <v>40998</v>
      </c>
      <c r="O1" s="4" t="s">
        <v>1</v>
      </c>
      <c r="P1" s="3">
        <f>N1+7</f>
        <v>41005</v>
      </c>
      <c r="Q1" s="3">
        <f t="shared" ref="Q1:AB1" si="1">P1+7</f>
        <v>41012</v>
      </c>
      <c r="R1" s="3">
        <f t="shared" si="1"/>
        <v>41019</v>
      </c>
      <c r="S1" s="3">
        <f t="shared" si="1"/>
        <v>41026</v>
      </c>
      <c r="T1" s="3">
        <f t="shared" si="1"/>
        <v>41033</v>
      </c>
      <c r="U1" s="3">
        <f t="shared" si="1"/>
        <v>41040</v>
      </c>
      <c r="V1" s="3">
        <f t="shared" si="1"/>
        <v>41047</v>
      </c>
      <c r="W1" s="3">
        <f t="shared" si="1"/>
        <v>41054</v>
      </c>
      <c r="X1" s="3">
        <f t="shared" si="1"/>
        <v>41061</v>
      </c>
      <c r="Y1" s="3">
        <f t="shared" si="1"/>
        <v>41068</v>
      </c>
      <c r="Z1" s="3">
        <f t="shared" si="1"/>
        <v>41075</v>
      </c>
      <c r="AA1" s="3">
        <f t="shared" si="1"/>
        <v>41082</v>
      </c>
      <c r="AB1" s="3">
        <f t="shared" si="1"/>
        <v>41089</v>
      </c>
      <c r="AC1" s="4" t="s">
        <v>2</v>
      </c>
      <c r="AD1" s="3">
        <f>AB1+7</f>
        <v>41096</v>
      </c>
      <c r="AE1" s="3">
        <f t="shared" ref="AE1:AP1" si="2">AD1+7</f>
        <v>41103</v>
      </c>
      <c r="AF1" s="3">
        <f t="shared" si="2"/>
        <v>41110</v>
      </c>
      <c r="AG1" s="3">
        <f t="shared" si="2"/>
        <v>41117</v>
      </c>
      <c r="AH1" s="3">
        <f t="shared" si="2"/>
        <v>41124</v>
      </c>
      <c r="AI1" s="3">
        <f t="shared" si="2"/>
        <v>41131</v>
      </c>
      <c r="AJ1" s="3">
        <f t="shared" si="2"/>
        <v>41138</v>
      </c>
      <c r="AK1" s="3">
        <f t="shared" si="2"/>
        <v>41145</v>
      </c>
      <c r="AL1" s="3">
        <f t="shared" si="2"/>
        <v>41152</v>
      </c>
      <c r="AM1" s="3">
        <f t="shared" si="2"/>
        <v>41159</v>
      </c>
      <c r="AN1" s="3">
        <f t="shared" si="2"/>
        <v>41166</v>
      </c>
      <c r="AO1" s="3">
        <f t="shared" si="2"/>
        <v>41173</v>
      </c>
      <c r="AP1" s="3">
        <f t="shared" si="2"/>
        <v>41180</v>
      </c>
      <c r="AQ1" s="4" t="s">
        <v>3</v>
      </c>
      <c r="AR1" s="3">
        <f>AP1+7</f>
        <v>41187</v>
      </c>
      <c r="AS1" s="3">
        <f t="shared" ref="AS1:BD1" si="3">AR1+7</f>
        <v>41194</v>
      </c>
      <c r="AT1" s="3">
        <f t="shared" si="3"/>
        <v>41201</v>
      </c>
      <c r="AU1" s="3">
        <f t="shared" si="3"/>
        <v>41208</v>
      </c>
      <c r="AV1" s="3">
        <f t="shared" si="3"/>
        <v>41215</v>
      </c>
      <c r="AW1" s="3">
        <f t="shared" si="3"/>
        <v>41222</v>
      </c>
      <c r="AX1" s="3">
        <f t="shared" si="3"/>
        <v>41229</v>
      </c>
      <c r="AY1" s="3">
        <f t="shared" si="3"/>
        <v>41236</v>
      </c>
      <c r="AZ1" s="3">
        <f t="shared" si="3"/>
        <v>41243</v>
      </c>
      <c r="BA1" s="3">
        <f t="shared" si="3"/>
        <v>41250</v>
      </c>
      <c r="BB1" s="3">
        <f t="shared" si="3"/>
        <v>41257</v>
      </c>
      <c r="BC1" s="3">
        <f t="shared" si="3"/>
        <v>41264</v>
      </c>
      <c r="BD1" s="3">
        <f t="shared" si="3"/>
        <v>41271</v>
      </c>
      <c r="BE1" s="4" t="s">
        <v>4</v>
      </c>
      <c r="BF1" s="64" t="s">
        <v>39</v>
      </c>
    </row>
    <row r="2" spans="1:58" ht="15.6" x14ac:dyDescent="0.3">
      <c r="A2" s="30" t="s">
        <v>45</v>
      </c>
      <c r="B2" s="5"/>
      <c r="C2" s="6"/>
      <c r="D2" s="6"/>
      <c r="E2" s="6"/>
      <c r="F2" s="7"/>
      <c r="G2" s="6"/>
      <c r="H2" s="6"/>
      <c r="I2" s="6"/>
      <c r="J2" s="6"/>
      <c r="K2" s="6"/>
      <c r="L2" s="6"/>
      <c r="M2" s="6"/>
      <c r="N2" s="6"/>
      <c r="O2" s="8">
        <f t="shared" ref="O2:O16" si="4">SUM(B2:N2)</f>
        <v>0</v>
      </c>
      <c r="P2" s="7"/>
      <c r="Q2" s="6"/>
      <c r="R2" s="5"/>
      <c r="S2" s="6"/>
      <c r="T2" s="6"/>
      <c r="U2" s="6"/>
      <c r="V2" s="6"/>
      <c r="W2" s="6"/>
      <c r="X2" s="29"/>
      <c r="Y2" s="6"/>
      <c r="Z2" s="6"/>
      <c r="AA2" s="6"/>
      <c r="AB2" s="6"/>
      <c r="AC2" s="8">
        <f t="shared" ref="AC2:AC16" si="5">SUM(P2:AB2)</f>
        <v>0</v>
      </c>
      <c r="AD2" s="7"/>
      <c r="AE2" s="6"/>
      <c r="AF2" s="86"/>
      <c r="AH2" s="6"/>
      <c r="AI2" s="6"/>
      <c r="AJ2" s="6"/>
      <c r="AK2" s="86"/>
      <c r="AL2" s="6"/>
      <c r="AM2" s="6"/>
      <c r="AN2" s="6"/>
      <c r="AO2" s="6"/>
      <c r="AP2" s="6"/>
      <c r="AQ2" s="8">
        <f t="shared" ref="AQ2:AQ16" si="6">SUM(AD2:AP2)</f>
        <v>0</v>
      </c>
      <c r="AR2" s="7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8">
        <f t="shared" ref="BE2:BE16" si="7">SUM(AR2:BD2)</f>
        <v>0</v>
      </c>
      <c r="BF2" s="8">
        <f t="shared" ref="BF2:BF16" si="8">O2+AC2+AQ2+BE2</f>
        <v>0</v>
      </c>
    </row>
    <row r="3" spans="1:58" ht="15.6" x14ac:dyDescent="0.3">
      <c r="A3" s="30" t="s">
        <v>37</v>
      </c>
      <c r="B3" s="5"/>
      <c r="C3" s="6"/>
      <c r="D3" s="6"/>
      <c r="E3" s="6"/>
      <c r="F3" s="7"/>
      <c r="G3" s="6"/>
      <c r="H3" s="6"/>
      <c r="I3" s="6"/>
      <c r="J3" s="6"/>
      <c r="K3" s="6"/>
      <c r="L3" s="6"/>
      <c r="M3" s="6"/>
      <c r="N3" s="6"/>
      <c r="O3" s="8">
        <f t="shared" si="4"/>
        <v>0</v>
      </c>
      <c r="P3" s="7"/>
      <c r="Q3" s="6"/>
      <c r="R3" s="5"/>
      <c r="S3" s="6"/>
      <c r="T3" s="6"/>
      <c r="U3" s="6"/>
      <c r="V3" s="6"/>
      <c r="W3" s="6"/>
      <c r="X3" s="25"/>
      <c r="Y3" s="6"/>
      <c r="Z3" s="6"/>
      <c r="AA3" s="6"/>
      <c r="AB3" s="6"/>
      <c r="AC3" s="8">
        <f t="shared" si="5"/>
        <v>0</v>
      </c>
      <c r="AD3" s="7"/>
      <c r="AE3" s="6"/>
      <c r="AF3" s="6"/>
      <c r="AH3" s="6"/>
      <c r="AI3" s="6"/>
      <c r="AJ3" s="6"/>
      <c r="AK3" s="6"/>
      <c r="AL3" s="6"/>
      <c r="AM3" s="6"/>
      <c r="AN3" s="6"/>
      <c r="AO3" s="6"/>
      <c r="AP3" s="54"/>
      <c r="AQ3" s="8">
        <f t="shared" si="6"/>
        <v>0</v>
      </c>
      <c r="AR3" s="7"/>
      <c r="AS3" s="56"/>
      <c r="AT3" s="56"/>
      <c r="AU3" s="6"/>
      <c r="AV3" s="6"/>
      <c r="AW3" s="6"/>
      <c r="AX3" s="6"/>
      <c r="AY3" s="6"/>
      <c r="AZ3" s="6"/>
      <c r="BA3" s="6"/>
      <c r="BB3" s="6"/>
      <c r="BC3" s="6"/>
      <c r="BD3" s="6"/>
      <c r="BE3" s="8">
        <f t="shared" si="7"/>
        <v>0</v>
      </c>
      <c r="BF3" s="8">
        <f t="shared" si="8"/>
        <v>0</v>
      </c>
    </row>
    <row r="4" spans="1:58" ht="15.6" x14ac:dyDescent="0.3">
      <c r="A4" s="30" t="s">
        <v>50</v>
      </c>
      <c r="B4" s="5"/>
      <c r="C4" s="6"/>
      <c r="D4" s="6"/>
      <c r="E4" s="44"/>
      <c r="F4" s="7"/>
      <c r="G4" s="6"/>
      <c r="H4" s="6"/>
      <c r="I4" s="6"/>
      <c r="J4" s="6"/>
      <c r="K4" s="6"/>
      <c r="L4" s="6"/>
      <c r="M4" s="6"/>
      <c r="N4" s="6"/>
      <c r="O4" s="8">
        <f t="shared" si="4"/>
        <v>0</v>
      </c>
      <c r="P4" s="7"/>
      <c r="Q4" s="6"/>
      <c r="R4" s="5"/>
      <c r="S4" s="6"/>
      <c r="T4" s="6"/>
      <c r="U4" s="6"/>
      <c r="V4" s="6"/>
      <c r="W4" s="6"/>
      <c r="X4" s="25"/>
      <c r="Y4" s="6"/>
      <c r="Z4" s="6"/>
      <c r="AA4" s="6"/>
      <c r="AB4" s="6"/>
      <c r="AC4" s="8">
        <f t="shared" si="5"/>
        <v>0</v>
      </c>
      <c r="AD4" s="7"/>
      <c r="AE4" s="6"/>
      <c r="AF4" s="6"/>
      <c r="AH4" s="6"/>
      <c r="AI4" s="6"/>
      <c r="AJ4" s="6"/>
      <c r="AK4" s="6"/>
      <c r="AL4" s="6"/>
      <c r="AM4" s="6"/>
      <c r="AN4" s="6"/>
      <c r="AO4" s="6"/>
      <c r="AP4" s="54"/>
      <c r="AQ4" s="8">
        <f t="shared" si="6"/>
        <v>0</v>
      </c>
      <c r="AR4" s="7"/>
      <c r="AS4" s="56"/>
      <c r="AT4" s="56"/>
      <c r="AU4" s="6"/>
      <c r="AV4" s="6"/>
      <c r="AW4" s="6"/>
      <c r="AX4" s="6"/>
      <c r="AY4" s="6"/>
      <c r="AZ4" s="6"/>
      <c r="BA4" s="6"/>
      <c r="BB4" s="6"/>
      <c r="BC4" s="6"/>
      <c r="BD4" s="6"/>
      <c r="BE4" s="8">
        <f>SUM(AR4:BD4)</f>
        <v>0</v>
      </c>
      <c r="BF4" s="8">
        <f t="shared" si="8"/>
        <v>0</v>
      </c>
    </row>
    <row r="5" spans="1:58" ht="15.6" x14ac:dyDescent="0.3">
      <c r="A5" s="30" t="s">
        <v>44</v>
      </c>
      <c r="B5" s="5"/>
      <c r="C5" s="6"/>
      <c r="D5" s="6"/>
      <c r="E5" s="6"/>
      <c r="F5" s="7"/>
      <c r="G5" s="6"/>
      <c r="H5" s="6"/>
      <c r="I5" s="6"/>
      <c r="J5" s="6"/>
      <c r="K5" s="6"/>
      <c r="L5" s="6"/>
      <c r="M5" s="6"/>
      <c r="N5" s="6"/>
      <c r="O5" s="8">
        <f t="shared" si="4"/>
        <v>0</v>
      </c>
      <c r="P5" s="7"/>
      <c r="Q5" s="6"/>
      <c r="R5" s="5"/>
      <c r="S5" s="6"/>
      <c r="T5" s="6"/>
      <c r="U5" s="6"/>
      <c r="V5" s="6"/>
      <c r="W5" s="6"/>
      <c r="X5" s="25"/>
      <c r="Y5" s="6"/>
      <c r="Z5" s="6"/>
      <c r="AA5" s="6"/>
      <c r="AB5" s="6"/>
      <c r="AC5" s="8">
        <f t="shared" si="5"/>
        <v>0</v>
      </c>
      <c r="AD5" s="7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54"/>
      <c r="AQ5" s="8">
        <f t="shared" si="6"/>
        <v>0</v>
      </c>
      <c r="AR5" s="7"/>
      <c r="AS5" s="56"/>
      <c r="AT5" s="56"/>
      <c r="AU5" s="6"/>
      <c r="AV5" s="6"/>
      <c r="AW5" s="6"/>
      <c r="AX5" s="6"/>
      <c r="AY5" s="6"/>
      <c r="AZ5" s="6"/>
      <c r="BA5" s="6"/>
      <c r="BB5" s="6"/>
      <c r="BC5" s="6"/>
      <c r="BD5" s="6"/>
      <c r="BE5" s="8">
        <f t="shared" si="7"/>
        <v>0</v>
      </c>
      <c r="BF5" s="8">
        <f t="shared" si="8"/>
        <v>0</v>
      </c>
    </row>
    <row r="6" spans="1:58" ht="16.2" thickBot="1" x14ac:dyDescent="0.35">
      <c r="A6" s="30" t="s">
        <v>40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8">
        <f t="shared" si="4"/>
        <v>0</v>
      </c>
      <c r="P6" s="7"/>
      <c r="Q6" s="6"/>
      <c r="R6" s="6"/>
      <c r="S6" s="6"/>
      <c r="T6" s="6"/>
      <c r="U6" s="6"/>
      <c r="V6" s="6"/>
      <c r="W6" s="6"/>
      <c r="X6" s="25"/>
      <c r="Y6" s="6"/>
      <c r="Z6" s="6"/>
      <c r="AA6" s="6"/>
      <c r="AB6" s="6"/>
      <c r="AC6" s="8">
        <f t="shared" si="5"/>
        <v>0</v>
      </c>
      <c r="AD6" s="7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54"/>
      <c r="AQ6" s="8">
        <f t="shared" si="6"/>
        <v>0</v>
      </c>
      <c r="AR6" s="7"/>
      <c r="AS6" s="56"/>
      <c r="AT6" s="56"/>
      <c r="AU6" s="6"/>
      <c r="AV6" s="6"/>
      <c r="AW6" s="6"/>
      <c r="AX6" s="6"/>
      <c r="AY6" s="6"/>
      <c r="AZ6" s="6"/>
      <c r="BA6" s="6"/>
      <c r="BB6" s="6"/>
      <c r="BC6" s="6"/>
      <c r="BD6" s="6"/>
      <c r="BE6" s="8">
        <f t="shared" si="7"/>
        <v>0</v>
      </c>
      <c r="BF6" s="8">
        <f t="shared" si="8"/>
        <v>0</v>
      </c>
    </row>
    <row r="7" spans="1:58" ht="16.2" thickBot="1" x14ac:dyDescent="0.35">
      <c r="A7" s="30" t="s">
        <v>9</v>
      </c>
      <c r="B7" s="5"/>
      <c r="C7" s="7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8">
        <f t="shared" si="4"/>
        <v>0</v>
      </c>
      <c r="P7" s="7"/>
      <c r="Q7" s="6"/>
      <c r="R7" s="6"/>
      <c r="S7" s="6"/>
      <c r="T7" s="6"/>
      <c r="U7" s="6"/>
      <c r="V7" s="6"/>
      <c r="W7" s="6"/>
      <c r="X7" s="25"/>
      <c r="Y7" s="6"/>
      <c r="Z7" s="6"/>
      <c r="AA7" s="6"/>
      <c r="AB7" s="6"/>
      <c r="AC7" s="8">
        <f t="shared" si="5"/>
        <v>0</v>
      </c>
      <c r="AD7" s="7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54"/>
      <c r="AQ7" s="8">
        <f t="shared" si="6"/>
        <v>0</v>
      </c>
      <c r="AR7" s="7"/>
      <c r="AS7" s="56"/>
      <c r="AT7" s="56"/>
      <c r="AU7" s="6"/>
      <c r="AV7" s="6"/>
      <c r="AW7" s="6"/>
      <c r="AX7" s="6"/>
      <c r="AY7" s="6"/>
      <c r="AZ7" s="6"/>
      <c r="BA7" s="6"/>
      <c r="BB7" s="6"/>
      <c r="BC7" s="6"/>
      <c r="BD7" s="6"/>
      <c r="BE7" s="8">
        <f t="shared" si="7"/>
        <v>0</v>
      </c>
      <c r="BF7" s="8">
        <f t="shared" si="8"/>
        <v>0</v>
      </c>
    </row>
    <row r="8" spans="1:58" ht="16.2" thickBot="1" x14ac:dyDescent="0.35">
      <c r="A8" s="30" t="s">
        <v>52</v>
      </c>
      <c r="B8" s="5"/>
      <c r="C8" s="7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8">
        <f t="shared" si="4"/>
        <v>0</v>
      </c>
      <c r="P8" s="7"/>
      <c r="Q8" s="6"/>
      <c r="R8" s="6"/>
      <c r="S8" s="6"/>
      <c r="T8" s="6"/>
      <c r="U8" s="6"/>
      <c r="V8" s="6"/>
      <c r="W8" s="6"/>
      <c r="X8" s="25"/>
      <c r="Y8" s="6"/>
      <c r="Z8" s="6"/>
      <c r="AA8" s="6"/>
      <c r="AB8" s="6"/>
      <c r="AC8" s="8">
        <f t="shared" si="5"/>
        <v>0</v>
      </c>
      <c r="AD8" s="7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8">
        <f t="shared" si="6"/>
        <v>0</v>
      </c>
      <c r="AR8" s="7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8">
        <f t="shared" si="7"/>
        <v>0</v>
      </c>
      <c r="BF8" s="8">
        <f t="shared" si="8"/>
        <v>0</v>
      </c>
    </row>
    <row r="9" spans="1:58" ht="15.6" x14ac:dyDescent="0.3">
      <c r="A9" s="30" t="s">
        <v>43</v>
      </c>
      <c r="B9" s="5"/>
      <c r="C9" s="7"/>
      <c r="D9" s="6"/>
      <c r="E9" s="6">
        <v>17.98</v>
      </c>
      <c r="F9" s="6"/>
      <c r="G9" s="6"/>
      <c r="H9" s="6"/>
      <c r="I9" s="6">
        <v>17.98</v>
      </c>
      <c r="J9" s="6"/>
      <c r="K9" s="6"/>
      <c r="L9" s="6"/>
      <c r="M9" s="6"/>
      <c r="N9" s="6">
        <v>17.98</v>
      </c>
      <c r="O9" s="8">
        <f t="shared" si="4"/>
        <v>53.94</v>
      </c>
      <c r="P9" s="7"/>
      <c r="Q9" s="6"/>
      <c r="R9" s="6"/>
      <c r="S9" s="6">
        <v>17.98</v>
      </c>
      <c r="T9" s="6"/>
      <c r="U9" s="6"/>
      <c r="V9" s="6"/>
      <c r="W9" s="6">
        <v>17.98</v>
      </c>
      <c r="X9" s="25"/>
      <c r="Y9" s="6"/>
      <c r="Z9" s="6"/>
      <c r="AA9" s="6"/>
      <c r="AB9" s="6">
        <v>17.98</v>
      </c>
      <c r="AC9" s="8">
        <f t="shared" si="5"/>
        <v>53.94</v>
      </c>
      <c r="AD9" s="7"/>
      <c r="AE9" s="6"/>
      <c r="AF9" s="6"/>
      <c r="AG9" s="6">
        <v>17.98</v>
      </c>
      <c r="AH9" s="6"/>
      <c r="AI9" s="6"/>
      <c r="AJ9" s="6"/>
      <c r="AK9" s="6"/>
      <c r="AL9" s="6">
        <v>17.98</v>
      </c>
      <c r="AM9" s="6"/>
      <c r="AN9" s="6"/>
      <c r="AO9" s="6"/>
      <c r="AP9" s="54">
        <v>17.98</v>
      </c>
      <c r="AQ9" s="8">
        <f t="shared" si="6"/>
        <v>53.94</v>
      </c>
      <c r="AR9" s="7"/>
      <c r="AS9" s="56"/>
      <c r="AT9" s="56"/>
      <c r="AU9" s="6">
        <v>17.98</v>
      </c>
      <c r="AV9" s="6"/>
      <c r="AW9" s="6"/>
      <c r="AX9" s="6"/>
      <c r="AY9" s="6">
        <v>17.98</v>
      </c>
      <c r="AZ9" s="6"/>
      <c r="BA9" s="6"/>
      <c r="BB9" s="6"/>
      <c r="BC9" s="6">
        <v>17.98</v>
      </c>
      <c r="BD9" s="76"/>
      <c r="BE9" s="8">
        <f t="shared" si="7"/>
        <v>53.94</v>
      </c>
      <c r="BF9" s="8">
        <f t="shared" si="8"/>
        <v>215.76</v>
      </c>
    </row>
    <row r="10" spans="1:58" s="17" customFormat="1" ht="15.6" x14ac:dyDescent="0.3">
      <c r="A10" s="30" t="s">
        <v>49</v>
      </c>
      <c r="B10" s="5"/>
      <c r="C10" s="9"/>
      <c r="D10" s="10"/>
      <c r="O10" s="8">
        <f t="shared" si="4"/>
        <v>0</v>
      </c>
      <c r="AC10" s="8">
        <f>SUM(P13:AB13)</f>
        <v>32.58</v>
      </c>
      <c r="AD10" s="9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54"/>
      <c r="AQ10" s="8">
        <f t="shared" si="6"/>
        <v>0</v>
      </c>
      <c r="AR10" s="9"/>
      <c r="AS10" s="79"/>
      <c r="AT10" s="79"/>
      <c r="AU10" s="10"/>
      <c r="AV10" s="10"/>
      <c r="AW10" s="10"/>
      <c r="AX10" s="10"/>
      <c r="AY10" s="10"/>
      <c r="AZ10" s="10"/>
      <c r="BA10" s="10"/>
      <c r="BB10" s="10"/>
      <c r="BC10" s="10"/>
      <c r="BD10" s="6"/>
      <c r="BE10" s="8">
        <f t="shared" si="7"/>
        <v>0</v>
      </c>
      <c r="BF10" s="8">
        <f t="shared" si="8"/>
        <v>32.58</v>
      </c>
    </row>
    <row r="11" spans="1:58" ht="15.6" x14ac:dyDescent="0.3">
      <c r="A11" s="51" t="s">
        <v>47</v>
      </c>
      <c r="B11" s="5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2">
        <f t="shared" si="4"/>
        <v>0</v>
      </c>
      <c r="P11" s="5"/>
      <c r="Q11" s="11"/>
      <c r="R11" s="53"/>
      <c r="S11" s="11"/>
      <c r="T11" s="11"/>
      <c r="U11" s="11"/>
      <c r="V11" s="11"/>
      <c r="W11" s="11"/>
      <c r="X11" s="82"/>
      <c r="Y11" s="11"/>
      <c r="Z11" s="11"/>
      <c r="AA11" s="11"/>
      <c r="AB11" s="11"/>
      <c r="AC11" s="12">
        <f t="shared" si="5"/>
        <v>0</v>
      </c>
      <c r="AQ11" s="12">
        <f>SUM(AD13:AP13)</f>
        <v>32.58</v>
      </c>
      <c r="BE11" s="12">
        <f>SUM(AR13:BD13)</f>
        <v>32.58</v>
      </c>
      <c r="BF11" s="12">
        <f t="shared" si="8"/>
        <v>65.16</v>
      </c>
    </row>
    <row r="12" spans="1:58" ht="15.6" x14ac:dyDescent="0.3">
      <c r="A12" s="51" t="s">
        <v>48</v>
      </c>
      <c r="B12" s="5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2">
        <f t="shared" si="4"/>
        <v>0</v>
      </c>
      <c r="P12" s="5"/>
      <c r="Q12" s="11"/>
      <c r="R12" s="11"/>
      <c r="S12" s="11"/>
      <c r="T12" s="11"/>
      <c r="U12" s="11"/>
      <c r="V12" s="11"/>
      <c r="W12" s="11"/>
      <c r="X12" s="82"/>
      <c r="Y12" s="11"/>
      <c r="Z12" s="11"/>
      <c r="AA12" s="11"/>
      <c r="AB12" s="11"/>
      <c r="AC12" s="12">
        <f>SUM(P12:AB12)</f>
        <v>0</v>
      </c>
      <c r="AD12" s="5"/>
      <c r="AE12" s="11"/>
      <c r="AF12" s="11"/>
      <c r="AG12" s="11"/>
      <c r="AH12" s="11"/>
      <c r="AI12" s="11"/>
      <c r="AJ12" s="11"/>
      <c r="AK12" s="11"/>
      <c r="AL12" s="11"/>
      <c r="AM12" s="5"/>
      <c r="AN12" s="11"/>
      <c r="AO12" s="11"/>
      <c r="AP12" s="11"/>
      <c r="AQ12" s="12">
        <f>SUM(AD12:AP12)</f>
        <v>0</v>
      </c>
      <c r="AR12" s="5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2">
        <f>SUM(AR12:BD12)</f>
        <v>0</v>
      </c>
      <c r="BF12" s="12">
        <f t="shared" si="8"/>
        <v>0</v>
      </c>
    </row>
    <row r="13" spans="1:58" ht="15.6" x14ac:dyDescent="0.3">
      <c r="A13" s="51" t="s">
        <v>46</v>
      </c>
      <c r="B13" s="5"/>
      <c r="C13" s="11"/>
      <c r="D13" s="11"/>
      <c r="E13" s="10">
        <v>10.86</v>
      </c>
      <c r="F13" s="10"/>
      <c r="G13" s="10"/>
      <c r="H13" s="10"/>
      <c r="I13" s="10">
        <v>10.86</v>
      </c>
      <c r="J13" s="10"/>
      <c r="K13" s="10"/>
      <c r="L13" s="10"/>
      <c r="M13" s="10"/>
      <c r="N13" s="6">
        <v>10.86</v>
      </c>
      <c r="O13" s="12">
        <f>SUM(B13:N13)</f>
        <v>32.58</v>
      </c>
      <c r="P13" s="9"/>
      <c r="Q13" s="10"/>
      <c r="R13" s="10"/>
      <c r="S13" s="10">
        <v>10.86</v>
      </c>
      <c r="T13" s="10"/>
      <c r="U13" s="10"/>
      <c r="V13" s="10"/>
      <c r="W13" s="10">
        <v>10.86</v>
      </c>
      <c r="X13" s="27"/>
      <c r="Y13" s="10"/>
      <c r="Z13" s="10"/>
      <c r="AA13" s="10"/>
      <c r="AB13" s="6">
        <v>10.86</v>
      </c>
      <c r="AC13" s="12">
        <f>SUM(P13:AB13)</f>
        <v>32.58</v>
      </c>
      <c r="AD13" s="5"/>
      <c r="AE13" s="11"/>
      <c r="AF13" s="11"/>
      <c r="AG13" s="11">
        <v>10.86</v>
      </c>
      <c r="AH13" s="11"/>
      <c r="AI13" s="11"/>
      <c r="AJ13" s="11"/>
      <c r="AK13" s="11"/>
      <c r="AL13" s="11">
        <v>10.86</v>
      </c>
      <c r="AM13" s="5"/>
      <c r="AN13" s="11"/>
      <c r="AO13" s="11"/>
      <c r="AP13" s="11">
        <v>10.86</v>
      </c>
      <c r="AQ13" s="12">
        <f>SUM(AD13:AP13)</f>
        <v>32.58</v>
      </c>
      <c r="AR13" s="5"/>
      <c r="AS13" s="11"/>
      <c r="AT13" s="11"/>
      <c r="AU13" s="11">
        <v>10.86</v>
      </c>
      <c r="AV13" s="11"/>
      <c r="AW13" s="11"/>
      <c r="AX13" s="11"/>
      <c r="AY13" s="11"/>
      <c r="AZ13" s="11">
        <v>10.86</v>
      </c>
      <c r="BA13" s="11"/>
      <c r="BB13" s="11"/>
      <c r="BC13" s="11">
        <v>10.86</v>
      </c>
      <c r="BD13" s="11"/>
      <c r="BE13" s="12">
        <f>SUM(AR13:BD13)</f>
        <v>32.58</v>
      </c>
      <c r="BF13" s="12">
        <f t="shared" si="8"/>
        <v>130.32</v>
      </c>
    </row>
    <row r="14" spans="1:58" ht="15.6" x14ac:dyDescent="0.3">
      <c r="A14" s="59" t="s">
        <v>42</v>
      </c>
      <c r="B14" s="5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2">
        <f t="shared" si="4"/>
        <v>0</v>
      </c>
      <c r="P14" s="5"/>
      <c r="Q14" s="11"/>
      <c r="R14" s="11"/>
      <c r="S14" s="11"/>
      <c r="T14" s="11"/>
      <c r="U14" s="11"/>
      <c r="V14" s="11"/>
      <c r="W14" s="11"/>
      <c r="X14" s="82"/>
      <c r="Y14" s="11"/>
      <c r="Z14" s="11"/>
      <c r="AA14" s="11"/>
      <c r="AB14" s="11"/>
      <c r="AC14" s="12">
        <f t="shared" si="5"/>
        <v>0</v>
      </c>
      <c r="AD14" s="5"/>
      <c r="AE14" s="11"/>
      <c r="AF14" s="11"/>
      <c r="AG14" s="11"/>
      <c r="AH14" s="11"/>
      <c r="AI14" s="11"/>
      <c r="AJ14" s="11"/>
      <c r="AK14" s="11"/>
      <c r="AL14" s="11"/>
      <c r="AM14" s="5"/>
      <c r="AN14" s="11"/>
      <c r="AO14" s="11"/>
      <c r="AP14" s="13"/>
      <c r="AQ14" s="12">
        <f t="shared" si="6"/>
        <v>0</v>
      </c>
      <c r="AR14" s="5"/>
      <c r="AS14" s="13"/>
      <c r="AT14" s="13"/>
      <c r="AU14" s="11"/>
      <c r="AV14" s="11"/>
      <c r="AW14" s="11"/>
      <c r="AX14" s="11"/>
      <c r="AY14" s="11"/>
      <c r="AZ14" s="11"/>
      <c r="BA14" s="11"/>
      <c r="BB14" s="11"/>
      <c r="BC14" s="11"/>
      <c r="BD14" s="5"/>
      <c r="BE14" s="12">
        <f t="shared" si="7"/>
        <v>0</v>
      </c>
      <c r="BF14" s="12">
        <f t="shared" si="8"/>
        <v>0</v>
      </c>
    </row>
    <row r="15" spans="1:58" ht="16.2" thickBot="1" x14ac:dyDescent="0.35">
      <c r="A15" s="51" t="s">
        <v>6</v>
      </c>
      <c r="B15" s="5"/>
      <c r="C15" s="11"/>
      <c r="D15" s="11"/>
      <c r="E15" s="11">
        <v>700</v>
      </c>
      <c r="F15" s="11"/>
      <c r="G15" s="11"/>
      <c r="H15" s="11"/>
      <c r="I15" s="11">
        <v>700</v>
      </c>
      <c r="J15" s="11"/>
      <c r="K15" s="11"/>
      <c r="L15" s="11"/>
      <c r="M15" s="11"/>
      <c r="N15" s="11">
        <v>700</v>
      </c>
      <c r="O15" s="12">
        <f t="shared" si="4"/>
        <v>2100</v>
      </c>
      <c r="P15" s="5"/>
      <c r="Q15" s="11"/>
      <c r="R15" s="11"/>
      <c r="S15" s="11">
        <v>700</v>
      </c>
      <c r="T15" s="11"/>
      <c r="U15" s="11"/>
      <c r="V15" s="11"/>
      <c r="W15" s="11">
        <v>700</v>
      </c>
      <c r="X15" s="82"/>
      <c r="Y15" s="11"/>
      <c r="Z15" s="11"/>
      <c r="AA15" s="11"/>
      <c r="AB15" s="11">
        <v>700</v>
      </c>
      <c r="AC15" s="12">
        <f t="shared" si="5"/>
        <v>2100</v>
      </c>
      <c r="AD15" s="5"/>
      <c r="AE15" s="11"/>
      <c r="AF15" s="11"/>
      <c r="AG15" s="11">
        <v>700</v>
      </c>
      <c r="AH15" s="11"/>
      <c r="AI15" s="11"/>
      <c r="AJ15" s="11"/>
      <c r="AK15" s="11"/>
      <c r="AL15" s="11">
        <v>700</v>
      </c>
      <c r="AM15" s="5"/>
      <c r="AN15" s="11"/>
      <c r="AO15" s="11"/>
      <c r="AP15" s="55">
        <v>700</v>
      </c>
      <c r="AQ15" s="12">
        <f t="shared" si="6"/>
        <v>2100</v>
      </c>
      <c r="AR15" s="5"/>
      <c r="AS15" s="13"/>
      <c r="AT15" s="13"/>
      <c r="AU15" s="11">
        <v>700</v>
      </c>
      <c r="AV15" s="11"/>
      <c r="AW15" s="11"/>
      <c r="AX15" s="11"/>
      <c r="AY15" s="11"/>
      <c r="AZ15" s="11">
        <v>700</v>
      </c>
      <c r="BA15" s="11"/>
      <c r="BB15" s="11"/>
      <c r="BC15" s="11"/>
      <c r="BD15" s="5">
        <v>700</v>
      </c>
      <c r="BE15" s="12">
        <f t="shared" si="7"/>
        <v>2100</v>
      </c>
      <c r="BF15" s="12">
        <f t="shared" si="8"/>
        <v>8400</v>
      </c>
    </row>
    <row r="16" spans="1:58" ht="16.2" thickBot="1" x14ac:dyDescent="0.35">
      <c r="A16" s="51" t="s">
        <v>5</v>
      </c>
      <c r="B16" s="5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2">
        <f t="shared" si="4"/>
        <v>0</v>
      </c>
      <c r="P16" s="5"/>
      <c r="Q16" s="11"/>
      <c r="R16" s="53"/>
      <c r="S16" s="11"/>
      <c r="T16" s="11"/>
      <c r="U16" s="11"/>
      <c r="V16" s="11"/>
      <c r="W16" s="11"/>
      <c r="X16" s="82"/>
      <c r="Y16" s="11"/>
      <c r="Z16" s="11"/>
      <c r="AA16" s="11"/>
      <c r="AB16" s="11"/>
      <c r="AC16" s="12">
        <f t="shared" si="5"/>
        <v>0</v>
      </c>
      <c r="AD16" s="5"/>
      <c r="AE16" s="11"/>
      <c r="AF16" s="11"/>
      <c r="AG16" s="11"/>
      <c r="AH16" s="11"/>
      <c r="AI16" s="11"/>
      <c r="AJ16" s="11"/>
      <c r="AK16" s="11"/>
      <c r="AL16" s="11"/>
      <c r="AM16" s="5"/>
      <c r="AN16" s="11"/>
      <c r="AO16" s="11"/>
      <c r="AP16" s="11"/>
      <c r="AQ16" s="12">
        <f t="shared" si="6"/>
        <v>0</v>
      </c>
      <c r="AR16" s="5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2">
        <f t="shared" si="7"/>
        <v>0</v>
      </c>
      <c r="BF16" s="12">
        <f t="shared" si="8"/>
        <v>0</v>
      </c>
    </row>
    <row r="17" spans="1:61" s="17" customFormat="1" ht="16.8" thickTop="1" thickBot="1" x14ac:dyDescent="0.35">
      <c r="A17" s="14" t="s">
        <v>8</v>
      </c>
      <c r="B17" s="15">
        <f>SUM(B2:B16)</f>
        <v>0</v>
      </c>
      <c r="C17" s="32">
        <f>SUM(C2:C16)</f>
        <v>0</v>
      </c>
      <c r="D17" s="32">
        <f t="shared" ref="D17:N17" si="9">SUM(D2:D16)</f>
        <v>0</v>
      </c>
      <c r="E17" s="32">
        <f t="shared" si="9"/>
        <v>728.84</v>
      </c>
      <c r="F17" s="32">
        <f t="shared" si="9"/>
        <v>0</v>
      </c>
      <c r="G17" s="32">
        <f t="shared" si="9"/>
        <v>0</v>
      </c>
      <c r="H17" s="32">
        <f t="shared" si="9"/>
        <v>0</v>
      </c>
      <c r="I17" s="32">
        <f t="shared" si="9"/>
        <v>728.84</v>
      </c>
      <c r="J17" s="32">
        <f t="shared" si="9"/>
        <v>0</v>
      </c>
      <c r="K17" s="32">
        <f t="shared" si="9"/>
        <v>0</v>
      </c>
      <c r="L17" s="32">
        <f t="shared" si="9"/>
        <v>0</v>
      </c>
      <c r="M17" s="32">
        <f t="shared" si="9"/>
        <v>0</v>
      </c>
      <c r="N17" s="32">
        <f t="shared" si="9"/>
        <v>728.84</v>
      </c>
      <c r="O17" s="16">
        <f>SUM(O2:O16)</f>
        <v>2186.52</v>
      </c>
      <c r="P17" s="32">
        <f>SUM(P2:P16)</f>
        <v>0</v>
      </c>
      <c r="Q17" s="32">
        <f t="shared" ref="Q17:AB17" si="10">SUM(Q2:Q16)</f>
        <v>0</v>
      </c>
      <c r="R17" s="32">
        <f t="shared" si="10"/>
        <v>0</v>
      </c>
      <c r="S17" s="32">
        <f t="shared" si="10"/>
        <v>728.84</v>
      </c>
      <c r="T17" s="32">
        <f t="shared" si="10"/>
        <v>0</v>
      </c>
      <c r="U17" s="32">
        <f t="shared" si="10"/>
        <v>0</v>
      </c>
      <c r="V17" s="32">
        <f t="shared" si="10"/>
        <v>0</v>
      </c>
      <c r="W17" s="32">
        <f t="shared" si="10"/>
        <v>728.84</v>
      </c>
      <c r="X17" s="32">
        <f t="shared" si="10"/>
        <v>0</v>
      </c>
      <c r="Y17" s="32">
        <f t="shared" si="10"/>
        <v>0</v>
      </c>
      <c r="Z17" s="32">
        <f t="shared" si="10"/>
        <v>0</v>
      </c>
      <c r="AA17" s="32">
        <f t="shared" si="10"/>
        <v>0</v>
      </c>
      <c r="AB17" s="33">
        <f t="shared" si="10"/>
        <v>728.84</v>
      </c>
      <c r="AC17" s="16">
        <f>SUM(AC2:AC16)</f>
        <v>2219.1</v>
      </c>
      <c r="AD17" s="32">
        <f>SUM(AD2:AD16)</f>
        <v>0</v>
      </c>
      <c r="AE17" s="32">
        <f t="shared" ref="AE17:AP17" si="11">SUM(AE2:AE16)</f>
        <v>0</v>
      </c>
      <c r="AF17" s="32">
        <f t="shared" si="11"/>
        <v>0</v>
      </c>
      <c r="AG17" s="32">
        <f t="shared" si="11"/>
        <v>728.84</v>
      </c>
      <c r="AH17" s="32">
        <f t="shared" si="11"/>
        <v>0</v>
      </c>
      <c r="AI17" s="32">
        <f t="shared" si="11"/>
        <v>0</v>
      </c>
      <c r="AJ17" s="32">
        <f t="shared" si="11"/>
        <v>0</v>
      </c>
      <c r="AK17" s="32">
        <f>SUM(AK2:AK16)</f>
        <v>0</v>
      </c>
      <c r="AL17" s="32">
        <f t="shared" si="11"/>
        <v>728.84</v>
      </c>
      <c r="AM17" s="32">
        <f t="shared" si="11"/>
        <v>0</v>
      </c>
      <c r="AN17" s="32">
        <f t="shared" si="11"/>
        <v>0</v>
      </c>
      <c r="AO17" s="32">
        <f t="shared" si="11"/>
        <v>0</v>
      </c>
      <c r="AP17" s="33">
        <f t="shared" si="11"/>
        <v>728.84</v>
      </c>
      <c r="AQ17" s="16">
        <f>SUM(AQ2:AQ16)</f>
        <v>2219.1</v>
      </c>
      <c r="AR17" s="32">
        <f>SUM(AR2:AR16)</f>
        <v>0</v>
      </c>
      <c r="AS17" s="32">
        <f t="shared" ref="AS17:BD17" si="12">SUM(AS2:AS16)</f>
        <v>0</v>
      </c>
      <c r="AT17" s="32">
        <f t="shared" si="12"/>
        <v>0</v>
      </c>
      <c r="AU17" s="32">
        <f t="shared" si="12"/>
        <v>728.84</v>
      </c>
      <c r="AV17" s="32">
        <f t="shared" si="12"/>
        <v>0</v>
      </c>
      <c r="AW17" s="32">
        <f t="shared" si="12"/>
        <v>0</v>
      </c>
      <c r="AX17" s="32">
        <f t="shared" si="12"/>
        <v>0</v>
      </c>
      <c r="AY17" s="32">
        <f t="shared" si="12"/>
        <v>17.98</v>
      </c>
      <c r="AZ17" s="32">
        <f t="shared" si="12"/>
        <v>710.86</v>
      </c>
      <c r="BA17" s="32">
        <f t="shared" si="12"/>
        <v>0</v>
      </c>
      <c r="BB17" s="32">
        <f t="shared" si="12"/>
        <v>0</v>
      </c>
      <c r="BC17" s="32">
        <f t="shared" si="12"/>
        <v>28.84</v>
      </c>
      <c r="BD17" s="33">
        <f t="shared" si="12"/>
        <v>700</v>
      </c>
      <c r="BE17" s="16">
        <f>SUM(BE2:BE16)</f>
        <v>2219.1</v>
      </c>
      <c r="BF17" s="16">
        <f>SUM(BF2:BF16)</f>
        <v>8843.82</v>
      </c>
    </row>
    <row r="18" spans="1:61" s="17" customFormat="1" ht="16.8" thickTop="1" thickBot="1" x14ac:dyDescent="0.35">
      <c r="A18" s="77" t="s">
        <v>12</v>
      </c>
      <c r="B18" s="18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20"/>
      <c r="O18" s="84">
        <f t="shared" ref="O18:O23" si="13">SUM(B18:N18)</f>
        <v>0</v>
      </c>
      <c r="P18" s="18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20"/>
      <c r="AC18" s="84">
        <f t="shared" ref="AC18:AC23" si="14">SUM(P18:AB18)</f>
        <v>0</v>
      </c>
      <c r="AD18" s="18">
        <v>95</v>
      </c>
      <c r="AE18" s="19">
        <v>95</v>
      </c>
      <c r="AF18" s="19">
        <v>95</v>
      </c>
      <c r="AG18" s="19">
        <v>95</v>
      </c>
      <c r="AH18" s="19">
        <v>95</v>
      </c>
      <c r="AI18" s="19">
        <v>95</v>
      </c>
      <c r="AJ18" s="19">
        <v>95</v>
      </c>
      <c r="AK18" s="19">
        <v>95</v>
      </c>
      <c r="AL18" s="19">
        <v>95</v>
      </c>
      <c r="AM18" s="19">
        <v>95</v>
      </c>
      <c r="AN18" s="19">
        <v>95</v>
      </c>
      <c r="AO18" s="19">
        <v>95</v>
      </c>
      <c r="AP18" s="20">
        <v>95</v>
      </c>
      <c r="AQ18" s="84">
        <f>SUM(AD18:AP18)</f>
        <v>1235</v>
      </c>
      <c r="AR18" s="21">
        <v>95</v>
      </c>
      <c r="AS18" s="19">
        <v>95</v>
      </c>
      <c r="AT18" s="19">
        <v>95</v>
      </c>
      <c r="AU18" s="19">
        <v>95</v>
      </c>
      <c r="AV18" s="19">
        <v>95</v>
      </c>
      <c r="AW18" s="19">
        <v>95</v>
      </c>
      <c r="AX18" s="19">
        <v>95</v>
      </c>
      <c r="AY18" s="19">
        <v>95</v>
      </c>
      <c r="AZ18" s="19">
        <v>95</v>
      </c>
      <c r="BA18" s="19">
        <v>95</v>
      </c>
      <c r="BB18" s="19">
        <v>95</v>
      </c>
      <c r="BC18" s="19">
        <v>95</v>
      </c>
      <c r="BD18" s="20">
        <v>95</v>
      </c>
      <c r="BE18" s="84">
        <f t="shared" ref="BE18:BE23" si="15">SUM(AR18:BD18)</f>
        <v>1235</v>
      </c>
      <c r="BF18" s="84">
        <f t="shared" ref="BF18:BF23" si="16">O18+AC18+AQ18+BE18</f>
        <v>2470</v>
      </c>
      <c r="BH18" s="35"/>
      <c r="BI18" s="35"/>
    </row>
    <row r="19" spans="1:61" ht="16.2" thickBot="1" x14ac:dyDescent="0.35">
      <c r="A19" s="22" t="s">
        <v>9</v>
      </c>
      <c r="B19" s="21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4"/>
      <c r="O19" s="84">
        <f t="shared" si="13"/>
        <v>0</v>
      </c>
      <c r="P19" s="21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4"/>
      <c r="AC19" s="84">
        <f t="shared" si="14"/>
        <v>0</v>
      </c>
      <c r="AD19" s="21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4"/>
      <c r="AQ19" s="84">
        <f>SUM(AD19:AP19)</f>
        <v>0</v>
      </c>
      <c r="AR19" s="25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4"/>
      <c r="BE19" s="84">
        <f t="shared" si="15"/>
        <v>0</v>
      </c>
      <c r="BF19" s="84">
        <f t="shared" si="16"/>
        <v>0</v>
      </c>
    </row>
    <row r="20" spans="1:61" ht="16.2" thickBot="1" x14ac:dyDescent="0.35">
      <c r="A20" s="30" t="s">
        <v>38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84">
        <f t="shared" si="13"/>
        <v>0</v>
      </c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84">
        <f t="shared" si="14"/>
        <v>0</v>
      </c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84">
        <f>SUM(AD20:AP20)</f>
        <v>0</v>
      </c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84">
        <f t="shared" si="15"/>
        <v>0</v>
      </c>
      <c r="BF20" s="84">
        <f t="shared" si="16"/>
        <v>0</v>
      </c>
      <c r="BG20" s="36"/>
    </row>
    <row r="21" spans="1:61" ht="16.2" thickBot="1" x14ac:dyDescent="0.35">
      <c r="A21" s="26" t="s">
        <v>10</v>
      </c>
      <c r="B21" s="28">
        <f>40*(1-0.27)*20</f>
        <v>584</v>
      </c>
      <c r="C21" s="28">
        <f>B21</f>
        <v>584</v>
      </c>
      <c r="D21" s="28">
        <f t="shared" ref="D21:N21" si="17">C21</f>
        <v>584</v>
      </c>
      <c r="E21" s="28">
        <f t="shared" si="17"/>
        <v>584</v>
      </c>
      <c r="F21" s="28">
        <f t="shared" si="17"/>
        <v>584</v>
      </c>
      <c r="G21" s="28">
        <f t="shared" si="17"/>
        <v>584</v>
      </c>
      <c r="H21" s="28">
        <f t="shared" si="17"/>
        <v>584</v>
      </c>
      <c r="I21" s="28">
        <f t="shared" si="17"/>
        <v>584</v>
      </c>
      <c r="J21" s="28">
        <f t="shared" si="17"/>
        <v>584</v>
      </c>
      <c r="K21" s="28">
        <f t="shared" si="17"/>
        <v>584</v>
      </c>
      <c r="L21" s="28">
        <f t="shared" si="17"/>
        <v>584</v>
      </c>
      <c r="M21" s="28">
        <f t="shared" si="17"/>
        <v>584</v>
      </c>
      <c r="N21" s="28">
        <f t="shared" si="17"/>
        <v>584</v>
      </c>
      <c r="O21" s="84">
        <f t="shared" si="13"/>
        <v>7592</v>
      </c>
      <c r="P21" s="28">
        <f>B21</f>
        <v>584</v>
      </c>
      <c r="Q21" s="28">
        <f t="shared" ref="Q21:AB21" si="18">C21</f>
        <v>584</v>
      </c>
      <c r="R21" s="28">
        <f t="shared" si="18"/>
        <v>584</v>
      </c>
      <c r="S21" s="28">
        <f t="shared" si="18"/>
        <v>584</v>
      </c>
      <c r="T21" s="28">
        <f t="shared" si="18"/>
        <v>584</v>
      </c>
      <c r="U21" s="28">
        <f t="shared" si="18"/>
        <v>584</v>
      </c>
      <c r="V21" s="28">
        <f t="shared" si="18"/>
        <v>584</v>
      </c>
      <c r="W21" s="28">
        <f t="shared" si="18"/>
        <v>584</v>
      </c>
      <c r="X21" s="28">
        <f t="shared" si="18"/>
        <v>584</v>
      </c>
      <c r="Y21" s="28">
        <f t="shared" si="18"/>
        <v>584</v>
      </c>
      <c r="Z21" s="28">
        <f t="shared" si="18"/>
        <v>584</v>
      </c>
      <c r="AA21" s="28">
        <f t="shared" si="18"/>
        <v>584</v>
      </c>
      <c r="AB21" s="28">
        <f t="shared" si="18"/>
        <v>584</v>
      </c>
      <c r="AC21" s="84">
        <f t="shared" si="14"/>
        <v>7592</v>
      </c>
      <c r="AD21" s="28">
        <f t="shared" ref="AD21:AP21" si="19">P21</f>
        <v>584</v>
      </c>
      <c r="AE21" s="28">
        <f t="shared" si="19"/>
        <v>584</v>
      </c>
      <c r="AF21" s="28">
        <f t="shared" si="19"/>
        <v>584</v>
      </c>
      <c r="AG21" s="28">
        <f t="shared" si="19"/>
        <v>584</v>
      </c>
      <c r="AH21" s="28">
        <f t="shared" si="19"/>
        <v>584</v>
      </c>
      <c r="AI21" s="28">
        <f t="shared" si="19"/>
        <v>584</v>
      </c>
      <c r="AJ21" s="28">
        <f t="shared" si="19"/>
        <v>584</v>
      </c>
      <c r="AK21" s="28">
        <f t="shared" si="19"/>
        <v>584</v>
      </c>
      <c r="AL21" s="28">
        <f t="shared" si="19"/>
        <v>584</v>
      </c>
      <c r="AM21" s="28">
        <f t="shared" si="19"/>
        <v>584</v>
      </c>
      <c r="AN21" s="28">
        <f t="shared" si="19"/>
        <v>584</v>
      </c>
      <c r="AO21" s="28">
        <f t="shared" si="19"/>
        <v>584</v>
      </c>
      <c r="AP21" s="28">
        <f t="shared" si="19"/>
        <v>584</v>
      </c>
      <c r="AQ21" s="84">
        <f>SUM(AE21:AP21)</f>
        <v>7008</v>
      </c>
      <c r="AR21" s="28">
        <f>B21</f>
        <v>584</v>
      </c>
      <c r="AS21" s="28">
        <f t="shared" ref="AS21:BD21" si="20">C21</f>
        <v>584</v>
      </c>
      <c r="AT21" s="28">
        <f t="shared" si="20"/>
        <v>584</v>
      </c>
      <c r="AU21" s="28">
        <f t="shared" si="20"/>
        <v>584</v>
      </c>
      <c r="AV21" s="28">
        <f t="shared" si="20"/>
        <v>584</v>
      </c>
      <c r="AW21" s="28">
        <f t="shared" si="20"/>
        <v>584</v>
      </c>
      <c r="AX21" s="28">
        <f t="shared" si="20"/>
        <v>584</v>
      </c>
      <c r="AY21" s="28">
        <f t="shared" si="20"/>
        <v>584</v>
      </c>
      <c r="AZ21" s="28">
        <f t="shared" si="20"/>
        <v>584</v>
      </c>
      <c r="BA21" s="28">
        <f t="shared" si="20"/>
        <v>584</v>
      </c>
      <c r="BB21" s="28">
        <f t="shared" si="20"/>
        <v>584</v>
      </c>
      <c r="BC21" s="28">
        <f t="shared" si="20"/>
        <v>584</v>
      </c>
      <c r="BD21" s="28">
        <f t="shared" si="20"/>
        <v>584</v>
      </c>
      <c r="BE21" s="84">
        <f t="shared" si="15"/>
        <v>7592</v>
      </c>
      <c r="BF21" s="84">
        <f t="shared" si="16"/>
        <v>29784</v>
      </c>
      <c r="BH21" s="46"/>
      <c r="BI21" s="46"/>
    </row>
    <row r="22" spans="1:61" ht="16.2" thickBot="1" x14ac:dyDescent="0.35">
      <c r="A22" s="26" t="s">
        <v>11</v>
      </c>
      <c r="B22" s="27"/>
      <c r="C22" s="27"/>
      <c r="D22" s="27"/>
      <c r="E22" s="27">
        <v>298</v>
      </c>
      <c r="F22" s="27"/>
      <c r="G22" s="27"/>
      <c r="H22" s="27"/>
      <c r="I22" s="27">
        <v>298</v>
      </c>
      <c r="J22" s="27"/>
      <c r="K22" s="27"/>
      <c r="L22" s="27"/>
      <c r="M22" s="27"/>
      <c r="N22" s="29">
        <v>298</v>
      </c>
      <c r="O22" s="84">
        <f t="shared" si="13"/>
        <v>894</v>
      </c>
      <c r="P22" s="27"/>
      <c r="Q22" s="27"/>
      <c r="R22" s="27"/>
      <c r="S22" s="27"/>
      <c r="T22" s="27">
        <v>298</v>
      </c>
      <c r="U22" s="27"/>
      <c r="V22" s="27"/>
      <c r="W22" s="27"/>
      <c r="X22" s="27">
        <v>298</v>
      </c>
      <c r="Y22" s="27"/>
      <c r="Z22" s="27"/>
      <c r="AA22" s="27"/>
      <c r="AB22" s="29"/>
      <c r="AC22" s="84">
        <f t="shared" si="14"/>
        <v>596</v>
      </c>
      <c r="AD22" s="28">
        <v>298</v>
      </c>
      <c r="AE22" s="27"/>
      <c r="AF22" s="27"/>
      <c r="AG22" s="27"/>
      <c r="AH22" s="27">
        <v>292</v>
      </c>
      <c r="AI22" s="27"/>
      <c r="AJ22" s="27"/>
      <c r="AK22" s="27"/>
      <c r="AL22" s="27"/>
      <c r="AM22" s="27">
        <v>292</v>
      </c>
      <c r="AN22" s="27"/>
      <c r="AO22" s="27"/>
      <c r="AP22" s="29"/>
      <c r="AQ22" s="84">
        <f>SUM(AD22:AP22)</f>
        <v>882</v>
      </c>
      <c r="AR22" s="28">
        <v>292</v>
      </c>
      <c r="AS22" s="27"/>
      <c r="AT22" s="27"/>
      <c r="AU22" s="27"/>
      <c r="AV22" s="27">
        <v>292</v>
      </c>
      <c r="AW22" s="27"/>
      <c r="AX22" s="27"/>
      <c r="AY22" s="27"/>
      <c r="AZ22" s="27"/>
      <c r="BA22" s="27">
        <v>292</v>
      </c>
      <c r="BB22" s="27"/>
      <c r="BC22" s="27"/>
      <c r="BD22" s="29">
        <v>298</v>
      </c>
      <c r="BE22" s="84">
        <f t="shared" si="15"/>
        <v>1174</v>
      </c>
      <c r="BF22" s="84">
        <f t="shared" si="16"/>
        <v>3546</v>
      </c>
      <c r="BG22" s="67" t="s">
        <v>53</v>
      </c>
    </row>
    <row r="23" spans="1:61" ht="16.2" thickBot="1" x14ac:dyDescent="0.35">
      <c r="A23" s="30" t="s">
        <v>13</v>
      </c>
      <c r="B23" s="28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9"/>
      <c r="O23" s="84">
        <f t="shared" si="13"/>
        <v>0</v>
      </c>
      <c r="P23" s="28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9"/>
      <c r="AC23" s="84">
        <f t="shared" si="14"/>
        <v>0</v>
      </c>
      <c r="AD23" s="28"/>
      <c r="AE23" s="27"/>
      <c r="AF23" s="27"/>
      <c r="AG23" s="27"/>
      <c r="AH23" s="27">
        <v>292</v>
      </c>
      <c r="AI23" s="27"/>
      <c r="AJ23" s="27"/>
      <c r="AK23" s="27"/>
      <c r="AL23" s="27"/>
      <c r="AM23" s="27"/>
      <c r="AN23" s="27"/>
      <c r="AO23" s="27"/>
      <c r="AP23" s="29"/>
      <c r="AQ23" s="84">
        <f>SUM(AD23:AP23)</f>
        <v>292</v>
      </c>
      <c r="AR23" s="28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9"/>
      <c r="BE23" s="84">
        <f t="shared" si="15"/>
        <v>0</v>
      </c>
      <c r="BF23" s="84">
        <f t="shared" si="16"/>
        <v>292</v>
      </c>
    </row>
    <row r="24" spans="1:61" ht="16.8" thickTop="1" thickBot="1" x14ac:dyDescent="0.35">
      <c r="A24" s="14" t="s">
        <v>8</v>
      </c>
      <c r="B24" s="32">
        <f>SUM(B18:B21)+B23</f>
        <v>584</v>
      </c>
      <c r="C24" s="32">
        <f>SUM(C18:C21)+C23+B24</f>
        <v>1168</v>
      </c>
      <c r="D24" s="63">
        <f t="shared" ref="D24:N24" si="21">SUM(D18:D21)+D23+C24</f>
        <v>1752</v>
      </c>
      <c r="E24" s="32">
        <f t="shared" si="21"/>
        <v>2336</v>
      </c>
      <c r="F24" s="32">
        <f t="shared" si="21"/>
        <v>2920</v>
      </c>
      <c r="G24" s="32">
        <f t="shared" si="21"/>
        <v>3504</v>
      </c>
      <c r="H24" s="32">
        <f t="shared" si="21"/>
        <v>4088</v>
      </c>
      <c r="I24" s="32">
        <f t="shared" si="21"/>
        <v>4672</v>
      </c>
      <c r="J24" s="32">
        <f t="shared" si="21"/>
        <v>5256</v>
      </c>
      <c r="K24" s="32">
        <f t="shared" si="21"/>
        <v>5840</v>
      </c>
      <c r="L24" s="32">
        <f t="shared" si="21"/>
        <v>6424</v>
      </c>
      <c r="M24" s="32">
        <f t="shared" si="21"/>
        <v>7008</v>
      </c>
      <c r="N24" s="33">
        <f t="shared" si="21"/>
        <v>7592</v>
      </c>
      <c r="O24" s="16">
        <f>SUM(O18:O21)+O23</f>
        <v>7592</v>
      </c>
      <c r="P24" s="32">
        <f>SUM(P18:P21)+P23+O25</f>
        <v>5989.48</v>
      </c>
      <c r="Q24" s="32">
        <f t="shared" ref="Q24:AB24" si="22">SUM(Q18:Q21)+Q23+P25</f>
        <v>6573.48</v>
      </c>
      <c r="R24" s="32">
        <f t="shared" si="22"/>
        <v>7157.48</v>
      </c>
      <c r="S24" s="32">
        <f t="shared" si="22"/>
        <v>7741.48</v>
      </c>
      <c r="T24" s="32">
        <f t="shared" si="22"/>
        <v>7596.6399999999994</v>
      </c>
      <c r="U24" s="32">
        <f t="shared" si="22"/>
        <v>8180.6399999999994</v>
      </c>
      <c r="V24" s="32">
        <f t="shared" si="22"/>
        <v>8764.64</v>
      </c>
      <c r="W24" s="32">
        <f t="shared" si="22"/>
        <v>9348.64</v>
      </c>
      <c r="X24" s="32">
        <f t="shared" si="22"/>
        <v>9203.7999999999993</v>
      </c>
      <c r="Y24" s="32">
        <f t="shared" si="22"/>
        <v>9787.7999999999993</v>
      </c>
      <c r="Z24" s="32">
        <f t="shared" si="22"/>
        <v>10371.799999999999</v>
      </c>
      <c r="AA24" s="32">
        <f t="shared" si="22"/>
        <v>10955.8</v>
      </c>
      <c r="AB24" s="33">
        <f t="shared" si="22"/>
        <v>11539.8</v>
      </c>
      <c r="AC24" s="16">
        <f>SUM(AC18:AC21)+AC23</f>
        <v>7592</v>
      </c>
      <c r="AD24" s="32">
        <f>SUM(AD18:AD21)+AD23+AC25</f>
        <v>6051.9</v>
      </c>
      <c r="AE24" s="32">
        <f>SUM(AE18:AE21)+AE23+AD25</f>
        <v>6730.9</v>
      </c>
      <c r="AF24" s="32">
        <f t="shared" ref="AF24:AP24" si="23">SUM(AF18:AF21)+AF23+AE25</f>
        <v>7409.9</v>
      </c>
      <c r="AG24" s="32">
        <f t="shared" si="23"/>
        <v>8088.9</v>
      </c>
      <c r="AH24" s="32">
        <f t="shared" si="23"/>
        <v>8331.06</v>
      </c>
      <c r="AI24" s="32">
        <f t="shared" si="23"/>
        <v>9010.06</v>
      </c>
      <c r="AJ24" s="32">
        <f t="shared" si="23"/>
        <v>9689.06</v>
      </c>
      <c r="AK24" s="32">
        <f t="shared" si="23"/>
        <v>10368.06</v>
      </c>
      <c r="AL24" s="32">
        <f t="shared" si="23"/>
        <v>11047.06</v>
      </c>
      <c r="AM24" s="32">
        <f t="shared" si="23"/>
        <v>10997.22</v>
      </c>
      <c r="AN24" s="32">
        <f t="shared" si="23"/>
        <v>11676.22</v>
      </c>
      <c r="AO24" s="32">
        <f t="shared" si="23"/>
        <v>12355.22</v>
      </c>
      <c r="AP24" s="33">
        <f t="shared" si="23"/>
        <v>13034.22</v>
      </c>
      <c r="AQ24" s="16">
        <f>SUM(AQ18:AQ21)+AQ23</f>
        <v>8535</v>
      </c>
      <c r="AR24" s="32">
        <f>SUM(AR18:AR21)+AR23+AQ25</f>
        <v>6994.9</v>
      </c>
      <c r="AS24" s="32">
        <f t="shared" ref="AS24:BD24" si="24">SUM(AS18:AS21)+AS23+AR25</f>
        <v>7673.9</v>
      </c>
      <c r="AT24" s="32">
        <f t="shared" si="24"/>
        <v>8352.9</v>
      </c>
      <c r="AU24" s="32">
        <f t="shared" si="24"/>
        <v>9031.9</v>
      </c>
      <c r="AV24" s="32">
        <f t="shared" si="24"/>
        <v>8982.06</v>
      </c>
      <c r="AW24" s="32">
        <f t="shared" si="24"/>
        <v>9661.06</v>
      </c>
      <c r="AX24" s="32">
        <f t="shared" si="24"/>
        <v>10340.06</v>
      </c>
      <c r="AY24" s="32">
        <f t="shared" si="24"/>
        <v>11019.06</v>
      </c>
      <c r="AZ24" s="32">
        <f t="shared" si="24"/>
        <v>11680.08</v>
      </c>
      <c r="BA24" s="32">
        <f t="shared" si="24"/>
        <v>11648.22</v>
      </c>
      <c r="BB24" s="32">
        <f t="shared" si="24"/>
        <v>12327.22</v>
      </c>
      <c r="BC24" s="32">
        <f t="shared" si="24"/>
        <v>13006.22</v>
      </c>
      <c r="BD24" s="33">
        <f t="shared" si="24"/>
        <v>13656.38</v>
      </c>
      <c r="BE24" s="16">
        <f>SUM(BE18:BE21)+BE23</f>
        <v>8827</v>
      </c>
      <c r="BF24" s="16">
        <f>SUM(BF18:BF21)+BF23</f>
        <v>32546</v>
      </c>
    </row>
    <row r="25" spans="1:61" ht="16.8" thickTop="1" thickBot="1" x14ac:dyDescent="0.35">
      <c r="A25" s="31"/>
      <c r="B25" s="32">
        <f>B24-B17</f>
        <v>584</v>
      </c>
      <c r="C25" s="32">
        <f>C24-C17</f>
        <v>1168</v>
      </c>
      <c r="D25" s="32">
        <f t="shared" ref="D25:O25" si="25">D24-D17</f>
        <v>1752</v>
      </c>
      <c r="E25" s="60">
        <f t="shared" si="25"/>
        <v>1607.1599999999999</v>
      </c>
      <c r="F25" s="32">
        <f t="shared" si="25"/>
        <v>2920</v>
      </c>
      <c r="G25" s="32">
        <f>G24-G17</f>
        <v>3504</v>
      </c>
      <c r="H25" s="32">
        <f t="shared" si="25"/>
        <v>4088</v>
      </c>
      <c r="I25" s="60">
        <f>I24-I17</f>
        <v>3943.16</v>
      </c>
      <c r="J25" s="32">
        <f t="shared" si="25"/>
        <v>5256</v>
      </c>
      <c r="K25" s="32">
        <f t="shared" si="25"/>
        <v>5840</v>
      </c>
      <c r="L25" s="32">
        <f t="shared" si="25"/>
        <v>6424</v>
      </c>
      <c r="M25" s="32">
        <f t="shared" si="25"/>
        <v>7008</v>
      </c>
      <c r="N25" s="65">
        <f t="shared" si="25"/>
        <v>6863.16</v>
      </c>
      <c r="O25" s="34">
        <f t="shared" si="25"/>
        <v>5405.48</v>
      </c>
      <c r="P25" s="32">
        <f>P24-P17</f>
        <v>5989.48</v>
      </c>
      <c r="Q25" s="32">
        <f t="shared" ref="Q25:AC25" si="26">Q24-Q17</f>
        <v>6573.48</v>
      </c>
      <c r="R25" s="32">
        <f t="shared" si="26"/>
        <v>7157.48</v>
      </c>
      <c r="S25" s="60">
        <f t="shared" si="26"/>
        <v>7012.6399999999994</v>
      </c>
      <c r="T25" s="32">
        <f t="shared" si="26"/>
        <v>7596.6399999999994</v>
      </c>
      <c r="U25" s="32">
        <f t="shared" si="26"/>
        <v>8180.6399999999994</v>
      </c>
      <c r="V25" s="32">
        <f t="shared" si="26"/>
        <v>8764.64</v>
      </c>
      <c r="W25" s="60">
        <f t="shared" si="26"/>
        <v>8619.7999999999993</v>
      </c>
      <c r="X25" s="32">
        <f t="shared" si="26"/>
        <v>9203.7999999999993</v>
      </c>
      <c r="Y25" s="32">
        <f t="shared" si="26"/>
        <v>9787.7999999999993</v>
      </c>
      <c r="Z25" s="32">
        <f t="shared" si="26"/>
        <v>10371.799999999999</v>
      </c>
      <c r="AA25" s="32">
        <f t="shared" si="26"/>
        <v>10955.8</v>
      </c>
      <c r="AB25" s="65">
        <f t="shared" si="26"/>
        <v>10810.96</v>
      </c>
      <c r="AC25" s="34">
        <f t="shared" si="26"/>
        <v>5372.9</v>
      </c>
      <c r="AD25" s="32">
        <f>AD24-AD17</f>
        <v>6051.9</v>
      </c>
      <c r="AE25" s="32">
        <f t="shared" ref="AE25:AQ25" si="27">AE24-AE17</f>
        <v>6730.9</v>
      </c>
      <c r="AF25" s="32">
        <f t="shared" si="27"/>
        <v>7409.9</v>
      </c>
      <c r="AG25" s="60">
        <f t="shared" si="27"/>
        <v>7360.0599999999995</v>
      </c>
      <c r="AH25" s="32">
        <f t="shared" si="27"/>
        <v>8331.06</v>
      </c>
      <c r="AI25" s="32">
        <f t="shared" si="27"/>
        <v>9010.06</v>
      </c>
      <c r="AJ25" s="32">
        <f t="shared" si="27"/>
        <v>9689.06</v>
      </c>
      <c r="AK25" s="32">
        <f t="shared" si="27"/>
        <v>10368.06</v>
      </c>
      <c r="AL25" s="60">
        <f t="shared" si="27"/>
        <v>10318.219999999999</v>
      </c>
      <c r="AM25" s="32">
        <f t="shared" si="27"/>
        <v>10997.22</v>
      </c>
      <c r="AN25" s="32">
        <f t="shared" si="27"/>
        <v>11676.22</v>
      </c>
      <c r="AO25" s="32">
        <f>AO24-AO17</f>
        <v>12355.22</v>
      </c>
      <c r="AP25" s="66">
        <f>AP24-AP17</f>
        <v>12305.38</v>
      </c>
      <c r="AQ25" s="34">
        <f t="shared" si="27"/>
        <v>6315.9</v>
      </c>
      <c r="AR25" s="32">
        <f>AR24-AR17</f>
        <v>6994.9</v>
      </c>
      <c r="AS25" s="32">
        <f t="shared" ref="AS25:BF25" si="28">AS24-AS17</f>
        <v>7673.9</v>
      </c>
      <c r="AT25" s="32">
        <f t="shared" si="28"/>
        <v>8352.9</v>
      </c>
      <c r="AU25" s="60">
        <f t="shared" si="28"/>
        <v>8303.06</v>
      </c>
      <c r="AV25" s="32">
        <f t="shared" si="28"/>
        <v>8982.06</v>
      </c>
      <c r="AW25" s="32">
        <f t="shared" si="28"/>
        <v>9661.06</v>
      </c>
      <c r="AX25" s="32">
        <f t="shared" si="28"/>
        <v>10340.06</v>
      </c>
      <c r="AY25" s="32">
        <f t="shared" si="28"/>
        <v>11001.08</v>
      </c>
      <c r="AZ25" s="60">
        <f t="shared" si="28"/>
        <v>10969.22</v>
      </c>
      <c r="BA25" s="32">
        <f t="shared" si="28"/>
        <v>11648.22</v>
      </c>
      <c r="BB25" s="32">
        <f t="shared" si="28"/>
        <v>12327.22</v>
      </c>
      <c r="BC25" s="32">
        <f t="shared" si="28"/>
        <v>12977.38</v>
      </c>
      <c r="BD25" s="65">
        <f t="shared" si="28"/>
        <v>12956.38</v>
      </c>
      <c r="BE25" s="61">
        <f>BE24-BE17</f>
        <v>6607.9</v>
      </c>
      <c r="BF25" s="62">
        <f t="shared" si="28"/>
        <v>23702.18</v>
      </c>
    </row>
    <row r="26" spans="1:61" ht="16.2" thickTop="1" x14ac:dyDescent="0.3"/>
    <row r="27" spans="1:61" ht="15" customHeight="1" x14ac:dyDescent="0.3">
      <c r="A27" s="36"/>
      <c r="B27" s="37"/>
      <c r="C27" s="38"/>
      <c r="D27" s="37"/>
      <c r="F27" s="37"/>
      <c r="G27" s="37"/>
      <c r="H27" s="37"/>
      <c r="J27" s="39"/>
      <c r="BF27" s="36"/>
    </row>
    <row r="28" spans="1:61" ht="15.6" x14ac:dyDescent="0.3">
      <c r="A28" s="36"/>
      <c r="B28" s="40" t="s">
        <v>14</v>
      </c>
      <c r="C28" s="41" t="s">
        <v>15</v>
      </c>
      <c r="D28" s="42" t="s">
        <v>16</v>
      </c>
      <c r="E28" s="42" t="s">
        <v>17</v>
      </c>
      <c r="F28" s="43" t="s">
        <v>18</v>
      </c>
      <c r="G28" s="42" t="s">
        <v>19</v>
      </c>
      <c r="H28" s="42" t="s">
        <v>20</v>
      </c>
      <c r="J28" s="44"/>
      <c r="Q28" s="67" t="s">
        <v>54</v>
      </c>
      <c r="AH28" s="67" t="s">
        <v>41</v>
      </c>
      <c r="BF28" s="45"/>
    </row>
    <row r="29" spans="1:61" ht="15.6" x14ac:dyDescent="0.3">
      <c r="B29" s="47"/>
      <c r="C29" s="70">
        <v>111336</v>
      </c>
      <c r="D29" s="71">
        <v>9675.81</v>
      </c>
      <c r="E29" s="58">
        <f>0</f>
        <v>0</v>
      </c>
      <c r="F29" s="85">
        <f>0</f>
        <v>0</v>
      </c>
      <c r="G29" s="70">
        <v>8560</v>
      </c>
      <c r="H29" s="70">
        <v>1650.47</v>
      </c>
      <c r="BF29" s="83"/>
    </row>
    <row r="30" spans="1:61" ht="15.6" x14ac:dyDescent="0.3">
      <c r="A30" s="48"/>
      <c r="B30" s="47"/>
      <c r="C30" s="49"/>
      <c r="F30" s="37"/>
      <c r="G30" s="37"/>
      <c r="H30" s="37"/>
      <c r="I30" s="37"/>
      <c r="J30" s="37"/>
    </row>
    <row r="31" spans="1:61" ht="15.6" x14ac:dyDescent="0.3">
      <c r="B31" s="40" t="s">
        <v>21</v>
      </c>
      <c r="C31" s="41" t="s">
        <v>22</v>
      </c>
      <c r="D31" s="42" t="s">
        <v>23</v>
      </c>
      <c r="E31" s="42" t="s">
        <v>24</v>
      </c>
      <c r="F31" s="42" t="s">
        <v>25</v>
      </c>
      <c r="G31" s="42" t="s">
        <v>26</v>
      </c>
      <c r="H31" s="42" t="s">
        <v>27</v>
      </c>
      <c r="I31" s="42" t="s">
        <v>28</v>
      </c>
      <c r="J31" s="42" t="s">
        <v>29</v>
      </c>
      <c r="K31" s="43" t="s">
        <v>30</v>
      </c>
      <c r="M31" s="68"/>
      <c r="O31" s="68"/>
    </row>
    <row r="32" spans="1:61" ht="15.6" x14ac:dyDescent="0.3">
      <c r="A32" s="36"/>
      <c r="B32" s="47"/>
      <c r="C32" s="57">
        <v>2600</v>
      </c>
      <c r="D32" s="57">
        <v>1600</v>
      </c>
      <c r="E32" s="57">
        <v>500</v>
      </c>
      <c r="F32" s="57">
        <v>1400</v>
      </c>
      <c r="G32" s="57">
        <v>300</v>
      </c>
      <c r="H32" s="57">
        <v>700</v>
      </c>
      <c r="I32" s="57">
        <v>700</v>
      </c>
      <c r="J32" s="57">
        <v>1200</v>
      </c>
      <c r="K32" s="57">
        <v>1000</v>
      </c>
      <c r="M32" s="69"/>
      <c r="O32" s="69"/>
    </row>
    <row r="33" spans="1:11" ht="15.6" x14ac:dyDescent="0.3">
      <c r="A33" s="36"/>
      <c r="B33" s="47"/>
      <c r="C33" s="70">
        <v>2751.76</v>
      </c>
      <c r="D33" s="70">
        <v>1676.75</v>
      </c>
      <c r="E33" s="70">
        <v>529.07000000000005</v>
      </c>
      <c r="F33" s="70">
        <v>1492.95</v>
      </c>
      <c r="G33" s="70">
        <v>331.55</v>
      </c>
      <c r="H33" s="70">
        <v>653.16</v>
      </c>
      <c r="I33" s="70">
        <v>694.25</v>
      </c>
      <c r="J33" s="70">
        <v>154.22999999999999</v>
      </c>
      <c r="K33" s="70">
        <v>1121.55</v>
      </c>
    </row>
    <row r="34" spans="1:11" ht="15" customHeight="1" x14ac:dyDescent="0.3">
      <c r="A34" s="37"/>
      <c r="B34" s="47"/>
      <c r="C34" s="72">
        <f t="shared" ref="C34:K34" si="29">C32-C33</f>
        <v>-151.76000000000022</v>
      </c>
      <c r="D34" s="72">
        <f t="shared" si="29"/>
        <v>-76.75</v>
      </c>
      <c r="E34" s="72">
        <f t="shared" si="29"/>
        <v>-29.07000000000005</v>
      </c>
      <c r="F34" s="72">
        <f t="shared" si="29"/>
        <v>-92.950000000000045</v>
      </c>
      <c r="G34" s="72">
        <f t="shared" si="29"/>
        <v>-31.550000000000011</v>
      </c>
      <c r="H34" s="73">
        <f t="shared" si="29"/>
        <v>46.840000000000032</v>
      </c>
      <c r="I34" s="73">
        <f t="shared" si="29"/>
        <v>5.75</v>
      </c>
      <c r="J34" s="73">
        <f t="shared" si="29"/>
        <v>1045.77</v>
      </c>
      <c r="K34" s="72">
        <f t="shared" si="29"/>
        <v>-121.54999999999995</v>
      </c>
    </row>
    <row r="35" spans="1:11" ht="15" customHeight="1" x14ac:dyDescent="0.3">
      <c r="A35" s="36"/>
    </row>
    <row r="36" spans="1:11" ht="15.6" x14ac:dyDescent="0.3">
      <c r="B36" s="40" t="s">
        <v>31</v>
      </c>
      <c r="C36" s="40" t="s">
        <v>32</v>
      </c>
      <c r="E36" s="40" t="s">
        <v>33</v>
      </c>
      <c r="F36" s="42" t="s">
        <v>7</v>
      </c>
      <c r="G36" s="42" t="s">
        <v>5</v>
      </c>
      <c r="H36" s="42" t="s">
        <v>34</v>
      </c>
      <c r="I36" s="52" t="s">
        <v>36</v>
      </c>
    </row>
    <row r="37" spans="1:11" ht="15.6" x14ac:dyDescent="0.3">
      <c r="A37" s="37"/>
      <c r="B37" s="70">
        <f>SUM(C33:K33)</f>
        <v>9405.2699999999986</v>
      </c>
      <c r="C37" s="70">
        <f>SUM(C29:H29)</f>
        <v>131222.28</v>
      </c>
      <c r="F37" s="74">
        <v>915</v>
      </c>
      <c r="G37" s="74">
        <v>1263.1199999999999</v>
      </c>
      <c r="H37" s="74">
        <v>2818</v>
      </c>
      <c r="I37" s="75">
        <v>222.66</v>
      </c>
    </row>
    <row r="38" spans="1:11" ht="15.6" x14ac:dyDescent="0.3">
      <c r="F38" s="37"/>
    </row>
    <row r="39" spans="1:11" ht="15.6" x14ac:dyDescent="0.3">
      <c r="B39" s="40" t="s">
        <v>35</v>
      </c>
      <c r="C39" s="81" t="s">
        <v>51</v>
      </c>
      <c r="F39" s="37"/>
      <c r="G39" s="37"/>
      <c r="I39" s="37"/>
    </row>
    <row r="40" spans="1:11" ht="15.6" x14ac:dyDescent="0.3">
      <c r="B40" s="78">
        <f>SUM(B37:C37)+SUM(F37:I37)</f>
        <v>145846.32999999999</v>
      </c>
      <c r="C40" s="80">
        <f>B40/BF25</f>
        <v>6.1532875878927582</v>
      </c>
      <c r="I40" s="50"/>
    </row>
    <row r="42" spans="1:11" ht="15.6" x14ac:dyDescent="0.3">
      <c r="F42" s="37"/>
      <c r="G42" s="37"/>
      <c r="H42" s="37"/>
      <c r="I42" s="37"/>
    </row>
    <row r="43" spans="1:11" ht="15" customHeight="1" x14ac:dyDescent="0.3">
      <c r="I43" s="50"/>
    </row>
    <row r="45" spans="1:11" ht="15" customHeight="1" x14ac:dyDescent="0.3">
      <c r="F45" s="37"/>
      <c r="G45" s="37"/>
      <c r="H45" s="37"/>
      <c r="I45" s="37"/>
    </row>
    <row r="46" spans="1:11" ht="15" customHeight="1" x14ac:dyDescent="0.3">
      <c r="I46" s="50"/>
    </row>
    <row r="48" spans="1:11" ht="15.6" x14ac:dyDescent="0.3"/>
    <row r="52" ht="15.6" x14ac:dyDescent="0.3"/>
    <row r="54" ht="15.6" x14ac:dyDescent="0.3"/>
    <row r="55" ht="15.6" x14ac:dyDescent="0.3"/>
    <row r="56" ht="15.6" x14ac:dyDescent="0.3"/>
    <row r="58" ht="15.6" x14ac:dyDescent="0.3"/>
  </sheetData>
  <sortState xmlns:xlrd2="http://schemas.microsoft.com/office/spreadsheetml/2017/richdata2" ref="A4:BF16">
    <sortCondition ref="A4:A16"/>
  </sortState>
  <printOptions horizontalCentered="1" gridLines="1"/>
  <pageMargins left="0.196527777777778" right="0.196527777777778" top="0.48680555555555599" bottom="0.48680555555555599" header="0.196527777777778" footer="0.196527777777778"/>
  <pageSetup orientation="portrait" horizontalDpi="300" verticalDpi="300" r:id="rId1"/>
  <headerFooter>
    <oddHeader>&amp;RPage &amp;P of &amp;N</oddHeader>
    <oddFooter>&amp;RPage &amp;P of &amp;N</oddFooter>
  </headerFooter>
  <colBreaks count="3" manualBreakCount="3">
    <brk id="15" max="1048575" man="1"/>
    <brk id="29" max="1048575" man="1"/>
    <brk id="43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Budget 2025</vt:lpstr>
      <vt:lpstr>'Budget 2025'!Print_Titles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Valued Acer Customer</dc:creator>
  <dc:description/>
  <cp:lastModifiedBy>John Garofalo</cp:lastModifiedBy>
  <cp:revision>4</cp:revision>
  <cp:lastPrinted>2010-03-09T08:27:16Z</cp:lastPrinted>
  <dcterms:created xsi:type="dcterms:W3CDTF">2010-02-21T12:43:30Z</dcterms:created>
  <dcterms:modified xsi:type="dcterms:W3CDTF">2025-12-14T15:11:22Z</dcterms:modified>
  <dc:language>en-US</dc:language>
</cp:coreProperties>
</file>